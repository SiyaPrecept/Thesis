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yabonga\Desktop\Keep moving forward\PhD\urban form\New_OLS_24Aug\"/>
    </mc:Choice>
  </mc:AlternateContent>
  <xr:revisionPtr revIDLastSave="0" documentId="13_ncr:1_{F5566389-B6F1-4956-B704-943603AF0932}" xr6:coauthVersionLast="47" xr6:coauthVersionMax="47" xr10:uidLastSave="{00000000-0000-0000-0000-000000000000}"/>
  <bookViews>
    <workbookView xWindow="-98" yWindow="-98" windowWidth="28996" windowHeight="15675" xr2:uid="{C59BF035-E9F3-4E6A-9059-F59ABF519A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" i="1" l="1"/>
  <c r="AD4" i="1"/>
  <c r="AP4" i="1" a="1"/>
  <c r="AP4" i="1" s="1"/>
  <c r="AE6" i="1"/>
  <c r="AU16" i="1" a="1"/>
  <c r="AU16" i="1" s="1"/>
  <c r="AT16" i="1" a="1"/>
  <c r="AT16" i="1" s="1"/>
  <c r="AS16" i="1" a="1"/>
  <c r="AS16" i="1" s="1"/>
  <c r="AR16" i="1" a="1"/>
  <c r="AR16" i="1" s="1"/>
  <c r="AQ16" i="1" a="1"/>
  <c r="AQ16" i="1" s="1"/>
  <c r="AP16" i="1" a="1"/>
  <c r="AP16" i="1" s="1"/>
  <c r="AU4" i="1" a="1"/>
  <c r="AU4" i="1" s="1"/>
  <c r="AT4" i="1" a="1"/>
  <c r="AT4" i="1" s="1"/>
  <c r="AS4" i="1" a="1"/>
  <c r="AS4" i="1" s="1"/>
  <c r="AR4" i="1" a="1"/>
  <c r="AR4" i="1" s="1"/>
  <c r="AQ4" i="1" a="1"/>
  <c r="AQ4" i="1" s="1"/>
  <c r="AJ4" i="1"/>
  <c r="Z18" i="1" a="1"/>
  <c r="Z18" i="1" s="1"/>
  <c r="Z11" i="1" a="1"/>
  <c r="Z11" i="1" s="1"/>
  <c r="AE9" i="1"/>
  <c r="AD9" i="1"/>
  <c r="AC9" i="1"/>
  <c r="AI6" i="1"/>
  <c r="AH6" i="1"/>
  <c r="AG6" i="1"/>
  <c r="Z4" i="1" a="1"/>
  <c r="AH7" i="1" s="1"/>
  <c r="AC18" i="1" l="1" a="1"/>
  <c r="AC18" i="1" s="1"/>
  <c r="AC23" i="1" a="1"/>
  <c r="AC23" i="1" s="1"/>
  <c r="AC11" i="1" a="1"/>
  <c r="AC11" i="1" s="1"/>
  <c r="AC5" i="1"/>
  <c r="AG7" i="1"/>
  <c r="AE5" i="1"/>
  <c r="AI7" i="1"/>
  <c r="AC12" i="1" a="1"/>
  <c r="AC12" i="1" s="1"/>
  <c r="AF5" i="1"/>
  <c r="AJ7" i="1"/>
  <c r="AC7" i="1"/>
  <c r="AI9" i="1"/>
  <c r="AC13" i="1" a="1"/>
  <c r="AC13" i="1" s="1"/>
  <c r="AC19" i="1" a="1"/>
  <c r="AC19" i="1" s="1"/>
  <c r="AH5" i="1"/>
  <c r="AI5" i="1"/>
  <c r="AC8" i="1"/>
  <c r="AC14" i="1" a="1"/>
  <c r="AC14" i="1" s="1"/>
  <c r="AC20" i="1" a="1"/>
  <c r="AC20" i="1" s="1"/>
  <c r="AJ5" i="1"/>
  <c r="AD8" i="1"/>
  <c r="AE8" i="1"/>
  <c r="AC15" i="1" a="1"/>
  <c r="AC15" i="1" s="1"/>
  <c r="AC21" i="1" a="1"/>
  <c r="AC21" i="1" s="1"/>
  <c r="AF8" i="1"/>
  <c r="AE7" i="1"/>
  <c r="AG5" i="1"/>
  <c r="AC6" i="1"/>
  <c r="AG8" i="1"/>
  <c r="AC16" i="1" a="1"/>
  <c r="AC16" i="1" s="1"/>
  <c r="AC22" i="1" a="1"/>
  <c r="AC22" i="1" s="1"/>
  <c r="AD6" i="1"/>
  <c r="AH8" i="1"/>
  <c r="AI8" i="1"/>
  <c r="AF6" i="1"/>
  <c r="AJ8" i="1"/>
  <c r="AJ6" i="1"/>
  <c r="AF9" i="1"/>
  <c r="AH9" i="1"/>
  <c r="AD7" i="1"/>
  <c r="AJ9" i="1"/>
  <c r="AF7" i="1"/>
  <c r="AG9" i="1"/>
  <c r="Z4" i="1"/>
  <c r="AD5" i="1"/>
  <c r="AI4" i="1" l="1"/>
  <c r="AH4" i="1"/>
  <c r="AG4" i="1"/>
  <c r="AF4" i="1"/>
  <c r="AC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<sst xmlns="http://schemas.openxmlformats.org/spreadsheetml/2006/main" count="447" uniqueCount="42">
  <si>
    <t>WARD_ID</t>
  </si>
  <si>
    <t>Regions</t>
  </si>
  <si>
    <t>Intercept</t>
  </si>
  <si>
    <t>BuiltUpDensity</t>
  </si>
  <si>
    <t>DomesticFuelUse</t>
  </si>
  <si>
    <t>Elevation</t>
  </si>
  <si>
    <t>IndurialDensity</t>
  </si>
  <si>
    <t>InformalDensity</t>
  </si>
  <si>
    <t>PopDensity</t>
  </si>
  <si>
    <t>NDVIWinter</t>
  </si>
  <si>
    <t>NDVISummer</t>
  </si>
  <si>
    <t>NDVISpring</t>
  </si>
  <si>
    <t>NDVIAutumn</t>
  </si>
  <si>
    <t>NDVI_annual</t>
  </si>
  <si>
    <t>PM_2km</t>
  </si>
  <si>
    <t>PM_6km</t>
  </si>
  <si>
    <t>summer</t>
  </si>
  <si>
    <t>autumn</t>
  </si>
  <si>
    <t>winter</t>
  </si>
  <si>
    <t>spring</t>
  </si>
  <si>
    <t>Lon</t>
  </si>
  <si>
    <t>Lat</t>
  </si>
  <si>
    <t>Ekurhuleni</t>
  </si>
  <si>
    <t>2 km annual</t>
  </si>
  <si>
    <t>Annual</t>
  </si>
  <si>
    <t>Summer</t>
  </si>
  <si>
    <t>Autumn</t>
  </si>
  <si>
    <t>Winter</t>
  </si>
  <si>
    <t>Spring</t>
  </si>
  <si>
    <t>City of Tshwane</t>
  </si>
  <si>
    <t>MidVaal_Emfuleni</t>
  </si>
  <si>
    <t>Built-up density</t>
  </si>
  <si>
    <t>Doemstic fuel use</t>
  </si>
  <si>
    <t>Industrial areas density</t>
  </si>
  <si>
    <t>Informal settlements density</t>
  </si>
  <si>
    <t>Population density</t>
  </si>
  <si>
    <t>Distance to roads</t>
  </si>
  <si>
    <t>NDVI</t>
  </si>
  <si>
    <t>City of Johannesburg</t>
  </si>
  <si>
    <t>DistanceToRoads</t>
  </si>
  <si>
    <t>p-value (two-tails)</t>
  </si>
  <si>
    <t>Unstandardized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</si>
</sst>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0" fillId="0" borderId="0" xfId="0" applyNumberFormat="1"/>
    <xf numFmtId="0" fontId="0" fillId="0" borderId="0" xfId="0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165" fontId="2" fillId="0" borderId="0" xfId="0" applyNumberFormat="1" applyFont="1"/>
    <xf numFmtId="166" fontId="2" fillId="0" borderId="0" xfId="0" applyNumberFormat="1" applyFont="1"/>
    <xf numFmtId="166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top" textRotation="90"/>
    </xf>
    <xf numFmtId="0" fontId="2" fillId="0" borderId="0" xfId="0" applyFont="1" applyAlignment="1">
      <alignment horizontal="center" vertical="top" textRotation="90"/>
    </xf>
    <xf numFmtId="0" fontId="0" fillId="2" borderId="0" xfId="0" applyFill="1"/>
    <xf numFmtId="2" fontId="0" fillId="0" borderId="0" xfId="0" applyNumberFormat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0" fillId="6" borderId="0" xfId="0" applyFill="1"/>
    <xf numFmtId="0" fontId="4" fillId="0" borderId="0" xfId="0" applyFont="1" applyFill="1"/>
  </cellXfs>
  <cellStyles count="1">
    <cellStyle name="Normal" xfId="0" builtinId="0"/>
  </cellStyles>
  <dxfs count="3"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D349-2C8C-4838-98A3-23FF1A932EC6}">
  <dimension ref="A1:AV349"/>
  <sheetViews>
    <sheetView tabSelected="1" topLeftCell="O1" zoomScale="85" zoomScaleNormal="85" workbookViewId="0">
      <selection activeCell="AD5" sqref="AD5"/>
    </sheetView>
  </sheetViews>
  <sheetFormatPr defaultRowHeight="14.25" x14ac:dyDescent="0.45"/>
  <cols>
    <col min="5" max="5" width="12.9296875" bestFit="1" customWidth="1"/>
    <col min="6" max="6" width="14.9296875" bestFit="1" customWidth="1"/>
    <col min="7" max="7" width="8.265625" bestFit="1" customWidth="1"/>
    <col min="8" max="8" width="13.1328125" bestFit="1" customWidth="1"/>
    <col min="9" max="9" width="13.86328125" bestFit="1" customWidth="1"/>
    <col min="10" max="10" width="10.06640625" bestFit="1" customWidth="1"/>
    <col min="11" max="11" width="10.46484375" bestFit="1" customWidth="1"/>
    <col min="12" max="12" width="10.6640625" bestFit="1" customWidth="1"/>
    <col min="13" max="13" width="11.86328125" bestFit="1" customWidth="1"/>
    <col min="14" max="14" width="10.1328125" bestFit="1" customWidth="1"/>
    <col min="15" max="15" width="11.59765625" bestFit="1" customWidth="1"/>
    <col min="16" max="16" width="11.46484375" bestFit="1" customWidth="1"/>
    <col min="17" max="18" width="8.1328125" bestFit="1" customWidth="1"/>
    <col min="19" max="19" width="7.46484375" bestFit="1" customWidth="1"/>
    <col min="20" max="20" width="7.19921875" bestFit="1" customWidth="1"/>
    <col min="21" max="21" width="6.53125" bestFit="1" customWidth="1"/>
    <col min="22" max="22" width="5.796875" bestFit="1" customWidth="1"/>
    <col min="23" max="23" width="5.46484375" bestFit="1" customWidth="1"/>
    <col min="24" max="24" width="6.06640625" bestFit="1" customWidth="1"/>
    <col min="28" max="28" width="10.3984375" bestFit="1" customWidth="1"/>
    <col min="29" max="40" width="5.265625" customWidth="1"/>
    <col min="42" max="46" width="11.59765625" bestFit="1" customWidth="1"/>
    <col min="47" max="47" width="12.1328125" bestFit="1" customWidth="1"/>
    <col min="48" max="48" width="31.06640625" bestFit="1" customWidth="1"/>
  </cols>
  <sheetData>
    <row r="1" spans="1:48" x14ac:dyDescent="0.4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39</v>
      </c>
      <c r="L1" t="s">
        <v>9</v>
      </c>
      <c r="M1" t="s">
        <v>10</v>
      </c>
      <c r="N1" t="s">
        <v>11</v>
      </c>
      <c r="O1" t="s">
        <v>12</v>
      </c>
      <c r="P1" s="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AP1" s="1" t="s">
        <v>13</v>
      </c>
      <c r="AQ1" s="1" t="s">
        <v>13</v>
      </c>
      <c r="AR1" t="s">
        <v>10</v>
      </c>
      <c r="AS1" t="s">
        <v>12</v>
      </c>
      <c r="AT1" t="s">
        <v>9</v>
      </c>
      <c r="AU1" t="s">
        <v>11</v>
      </c>
    </row>
    <row r="2" spans="1:48" x14ac:dyDescent="0.45">
      <c r="A2">
        <v>79700016</v>
      </c>
      <c r="B2" t="s">
        <v>22</v>
      </c>
      <c r="D2">
        <v>1</v>
      </c>
      <c r="E2" s="10">
        <v>0.6427821864332357</v>
      </c>
      <c r="F2" s="10">
        <v>5.2932111438843708E-2</v>
      </c>
      <c r="G2" s="10">
        <v>0.8017795779358764</v>
      </c>
      <c r="H2" s="10">
        <v>5.20810396139057E-3</v>
      </c>
      <c r="I2" s="10">
        <v>1.8777288123007652E-2</v>
      </c>
      <c r="J2" s="10">
        <v>2.1112294167360386E-2</v>
      </c>
      <c r="K2" s="10">
        <v>2.8596569416021473E-2</v>
      </c>
      <c r="L2" s="10">
        <v>0.62369660603520216</v>
      </c>
      <c r="M2" s="10">
        <v>0.74559334225593499</v>
      </c>
      <c r="N2" s="10">
        <v>0.68636620948801996</v>
      </c>
      <c r="O2" s="10">
        <v>0.7671069507626388</v>
      </c>
      <c r="P2" s="10">
        <v>0.70569077713544903</v>
      </c>
      <c r="Q2" s="10">
        <v>25.214795430500001</v>
      </c>
      <c r="R2" s="10">
        <v>49.948090701600002</v>
      </c>
      <c r="S2" s="10">
        <v>39.592907545300001</v>
      </c>
      <c r="T2" s="10">
        <v>54.351582760299998</v>
      </c>
      <c r="U2" s="10">
        <v>65.893834771100003</v>
      </c>
      <c r="V2" s="10">
        <v>39.954034762900001</v>
      </c>
      <c r="W2" s="10">
        <v>28.221630260000001</v>
      </c>
      <c r="X2" s="10">
        <v>-26.087986109999999</v>
      </c>
    </row>
    <row r="3" spans="1:48" ht="21" x14ac:dyDescent="0.65">
      <c r="A3">
        <v>79700017</v>
      </c>
      <c r="B3" t="s">
        <v>22</v>
      </c>
      <c r="D3">
        <v>1</v>
      </c>
      <c r="E3" s="10">
        <v>0.32198078524550289</v>
      </c>
      <c r="F3" s="10">
        <v>1.772927101856454E-2</v>
      </c>
      <c r="G3" s="10">
        <v>0.83968418186883076</v>
      </c>
      <c r="H3" s="10">
        <v>0.52289680305922015</v>
      </c>
      <c r="I3" s="10">
        <v>3.6815183747596304E-3</v>
      </c>
      <c r="J3" s="10">
        <v>5.0342646932070995E-3</v>
      </c>
      <c r="K3" s="10">
        <v>4.5024398649121687E-2</v>
      </c>
      <c r="L3" s="10">
        <v>0.43229163862340836</v>
      </c>
      <c r="M3" s="10">
        <v>0.58993409311606315</v>
      </c>
      <c r="N3" s="10">
        <v>0.41154443370574473</v>
      </c>
      <c r="O3" s="10">
        <v>0.6060961294542957</v>
      </c>
      <c r="P3" s="10">
        <v>0.50996657372487797</v>
      </c>
      <c r="Q3" s="10">
        <v>24.381398916199998</v>
      </c>
      <c r="R3" s="10">
        <v>49.711879730200003</v>
      </c>
      <c r="S3" s="10">
        <v>39.632743835399999</v>
      </c>
      <c r="T3" s="10">
        <v>53.900707244899998</v>
      </c>
      <c r="U3" s="10">
        <v>65.715873718300003</v>
      </c>
      <c r="V3" s="10">
        <v>39.598190307599999</v>
      </c>
      <c r="W3" s="10">
        <v>28.220023309999998</v>
      </c>
      <c r="X3" s="10">
        <v>-26.121865790000001</v>
      </c>
      <c r="AP3" s="15" t="s">
        <v>14</v>
      </c>
      <c r="AQ3" s="15" t="s">
        <v>15</v>
      </c>
      <c r="AR3" s="15" t="s">
        <v>16</v>
      </c>
      <c r="AS3" s="15" t="s">
        <v>17</v>
      </c>
      <c r="AT3" s="15" t="s">
        <v>18</v>
      </c>
      <c r="AU3" s="15" t="s">
        <v>19</v>
      </c>
      <c r="AV3" s="12" t="s">
        <v>40</v>
      </c>
    </row>
    <row r="4" spans="1:48" ht="19.899999999999999" customHeight="1" x14ac:dyDescent="0.45">
      <c r="A4">
        <v>79700018</v>
      </c>
      <c r="B4" t="s">
        <v>22</v>
      </c>
      <c r="D4">
        <v>1</v>
      </c>
      <c r="E4" s="10">
        <v>0.62931340858965434</v>
      </c>
      <c r="F4" s="10">
        <v>2.998049025320642E-2</v>
      </c>
      <c r="G4" s="10">
        <v>0.77697388906216325</v>
      </c>
      <c r="H4" s="10">
        <v>0.14736603937127871</v>
      </c>
      <c r="I4" s="10">
        <v>2.3816137162061385E-3</v>
      </c>
      <c r="J4" s="10">
        <v>2.3494583199802223E-2</v>
      </c>
      <c r="K4" s="10">
        <v>6.1942302016110777E-2</v>
      </c>
      <c r="L4" s="10">
        <v>0.61692182029891818</v>
      </c>
      <c r="M4" s="10">
        <v>0.65507594746652476</v>
      </c>
      <c r="N4" s="10">
        <v>0.61413593440031755</v>
      </c>
      <c r="O4" s="10">
        <v>0.67294314566378233</v>
      </c>
      <c r="P4" s="10">
        <v>0.63976921195738579</v>
      </c>
      <c r="Q4" s="10">
        <v>24.525506019600002</v>
      </c>
      <c r="R4" s="10">
        <v>46.595047632899998</v>
      </c>
      <c r="S4" s="10">
        <v>38.0588737669</v>
      </c>
      <c r="T4" s="10">
        <v>50.4863703591</v>
      </c>
      <c r="U4" s="10">
        <v>59.799262818800003</v>
      </c>
      <c r="V4" s="10">
        <v>38.035678954399998</v>
      </c>
      <c r="W4" s="10">
        <v>28.169280239999999</v>
      </c>
      <c r="X4" s="10">
        <v>-26.135270120000001</v>
      </c>
      <c r="Z4" t="str" cm="1">
        <f t="array" ref="Z4:Z9">TRANSPOSE(_xlfn.UNIQUE($Q$1:$V$1))</f>
        <v>PM_2km</v>
      </c>
      <c r="AB4" s="2" t="s">
        <v>23</v>
      </c>
      <c r="AC4" s="3">
        <f>_xlfn.LET(
_xlpm.pm, INDEX($Q$2:$V$349, , MATCH($Z4, $Q$1:$V$1, 0)),
_xlpm.var, INDEX($D$2:$P$349, , MATCH(AC$29, $D$1:$P$1, 0)),
PEARSON(_xlpm.pm, _xlpm.var)
)</f>
        <v>-8.5169162798568676E-2</v>
      </c>
      <c r="AD4" s="3">
        <f>_xlfn.LET(
_xlpm.pm, INDEX($Q$2:$V$349, , MATCH($Z4, $Q$1:$V$1, 0)),
_xlpm.var, INDEX($D$2:$P$349, , MATCH(AD$29, $D$1:$P$1, 0)),
PEARSON(_xlpm.pm, _xlpm.var)
)</f>
        <v>0.55994957527290212</v>
      </c>
      <c r="AE4" s="3">
        <f>_xlfn.LET(
_xlpm.pm, INDEX($Q$2:$V$349, , MATCH($Z4, $Q$1:$V$1, 0)),
_xlpm.var, INDEX($D$2:$P$349, , MATCH(AE$29, $D$1:$P$1, 0)),
PEARSON(_xlpm.pm, _xlpm.var)
)</f>
        <v>0.27051853920199209</v>
      </c>
      <c r="AF4" s="3">
        <f t="shared" ref="AD4:AI9" si="0">_xlfn.LET(
_xlpm.pm, INDEX($Q$2:$V$349, , MATCH($Z4, $Q$1:$V$1, 0)),
_xlpm.var, INDEX($D$2:$P$349, , MATCH(AF$29, $D$1:$P$1, 0)),
PEARSON(_xlpm.pm, _xlpm.var)
)</f>
        <v>4.5024307797657537E-3</v>
      </c>
      <c r="AG4" s="3">
        <f t="shared" si="0"/>
        <v>0.20301725082346878</v>
      </c>
      <c r="AH4" s="3">
        <f t="shared" si="0"/>
        <v>5.2782281149906678E-2</v>
      </c>
      <c r="AI4" s="3">
        <f t="shared" si="0"/>
        <v>4.1292826650763885E-2</v>
      </c>
      <c r="AJ4" s="3">
        <f>_xlfn.LET(
_xlpm.pm, INDEX($Q$2:$V$349, , MATCH($Z4, $Q$1:$V$1, 0)),
_xlpm.var, INDEX($D$2:$P$349, , MATCH(AN$29, $D$1:$P$1, 0)),
PEARSON(_xlpm.pm, _xlpm.var)
)</f>
        <v>-0.20130073325035619</v>
      </c>
      <c r="AO4" s="9" t="s">
        <v>2</v>
      </c>
      <c r="AP4" s="9" cm="1">
        <f t="array" ref="AP4:AP12">_xlfn.LET(
_xlpm.var_sel, CHOOSE({1,2,3,4,5,6,7,8,9},
    $D$2:$D$349,
    $E$2:$E$349,
    $F$2:$F$349,
    $G$2:$G$349,
    $H$2:$H$349,
    $I$2:$I$349,
    $J$2:$J$349,
    $K$2:$K$349,
INDEX($L$2:$P$349, ,MATCH($AP1, $L$1:$P$1, 0))
),
_xlpm.var, _xlpm.var_sel,
_xlpm.n, ROWS(_xlpm.var),
_xlpm.p, COLUMNS(_xlpm.var),
_xlpm.pm, Q$2:Q$349,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3.285748710364256E-26</v>
      </c>
      <c r="AQ4" s="9" cm="1">
        <f t="array" ref="AQ4:AQ12">_xlfn.LET(
_xlpm.var_sel, CHOOSE({1,2,3,4,5,6,7,8,9},
    $D$2:$D$349,
    $E$2:$E$349,
    $F$2:$F$349,
    $G$2:$G$349,
    $H$2:$H$349,
    $I$2:$I$349,
    $J$2:$J$349,
    $K$2:$K$349,
INDEX($L$2:$P$349, ,MATCH($AQ1, $L$1:$P$1, 0))
),
_xlpm.var, _xlpm.var_sel,
_xlpm.n, ROWS(_xlpm.var),
_xlpm.p, COLUMNS(_xlpm.var),
_xlpm.pm, R$2:R$349,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1.9249090843612326E-34</v>
      </c>
      <c r="AR4" s="9" cm="1">
        <f t="array" ref="AR4:AR12">_xlfn.LET(
_xlpm.var_sel, CHOOSE({1,2,3,4,5,6,7,8,9},
    $D$2:$D$349,
    $E$2:$E$349,
    $F$2:$F$349,
    $G$2:$G$349,
    $H$2:$H$349,
    $I$2:$I$349,
    $J$2:$J$349,
    $K$2:$K$349,
INDEX($L$2:$P$349, ,MATCH($AR1, $L$1:$P$1, 0))
),
_xlpm.var, _xlpm.var_sel,
_xlpm.n, ROWS(_xlpm.var),
_xlpm.p, COLUMNS(_xlpm.var),
_xlpm.pm, S$2:S$349,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2.0427285140845071E-19</v>
      </c>
      <c r="AS4" s="9" cm="1">
        <f t="array" ref="AS4:AS12">_xlfn.LET(
_xlpm.var_sel, CHOOSE({1,2,3,4,5,6,7,8,9},
    $D$2:$D$349,
    $E$2:$E$349,
    $F$2:$F$349,
    $G$2:$G$349,
    $H$2:$H$349,
    $I$2:$I$349,
    $J$2:$J$349,
    $K$2:$K$349,
INDEX($L$2:$P$349, ,MATCH($AS1, $L$1:$P$1, 0))
),
_xlpm.var, _xlpm.var_sel,
_xlpm.n, ROWS(_xlpm.var),
_xlpm.p, COLUMNS(_xlpm.var),
_xlpm.pm, T$2:T$349,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2.7590824271983308E-24</v>
      </c>
      <c r="AT4" s="9" cm="1">
        <f t="array" ref="AT4:AT12">_xlfn.LET(
_xlpm.var_sel, CHOOSE({1,2,3,4,5,6,7,8,9},
    $D$2:$D$349,
    $E$2:$E$349,
    $F$2:$F$349,
    $G$2:$G$349,
    $H$2:$H$349,
    $I$2:$I$349,
    $J$2:$J$349,
    $K$2:$K$349,
INDEX($L$2:$P$349, ,MATCH($AT1, $L$1:$P$1, 0))
),
_xlpm.var, _xlpm.var_sel,
_xlpm.n, ROWS(_xlpm.var),
_xlpm.p, COLUMNS(_xlpm.var),
_xlpm.pm, U$2:U$349,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9.5481693737618427E-50</v>
      </c>
      <c r="AU4" s="9" cm="1">
        <f t="array" ref="AU4:AU12">_xlfn.LET(
_xlpm.var_sel, CHOOSE({1,2,3,4,5,6,7,8,9},
    $D$2:$D$349,
    $E$2:$E$349,
    $F$2:$F$349,
    $G$2:$G$349,
    $H$2:$H$349,
    $I$2:$I$349,
    $J$2:$J$349,
    $K$2:$K$349,
INDEX($L$2:$P$349, ,MATCH($AU1, $L$1:$P$1, 0))
),
_xlpm.var, _xlpm.var_sel,
_xlpm.n, ROWS(_xlpm.var),
_xlpm.p, COLUMNS(_xlpm.var),
_xlpm.pm, V$2:V$349,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_xlpm.p_value
)</f>
        <v>6.6991798222481289E-37</v>
      </c>
      <c r="AV4" s="9"/>
    </row>
    <row r="5" spans="1:48" ht="19.899999999999999" customHeight="1" x14ac:dyDescent="0.45">
      <c r="A5">
        <v>79700034</v>
      </c>
      <c r="B5" t="s">
        <v>22</v>
      </c>
      <c r="D5">
        <v>1</v>
      </c>
      <c r="E5" s="10">
        <v>0.24306227836409897</v>
      </c>
      <c r="F5" s="10">
        <v>0.23846351030252871</v>
      </c>
      <c r="G5" s="10">
        <v>0.75955668572957069</v>
      </c>
      <c r="H5" s="10">
        <v>6.5383920091638403E-3</v>
      </c>
      <c r="I5" s="10">
        <v>0.11450842253545063</v>
      </c>
      <c r="J5" s="10">
        <v>3.6002382201774687E-2</v>
      </c>
      <c r="K5" s="10">
        <v>4.5051287896217831E-2</v>
      </c>
      <c r="L5" s="10">
        <v>0.38189470917642127</v>
      </c>
      <c r="M5" s="10">
        <v>0.64771001008081808</v>
      </c>
      <c r="N5" s="10">
        <v>0.47506818575475251</v>
      </c>
      <c r="O5" s="10">
        <v>0.65159197506046918</v>
      </c>
      <c r="P5" s="10">
        <v>0.53906622001811522</v>
      </c>
      <c r="Q5" s="10">
        <v>42.110359191900002</v>
      </c>
      <c r="R5" s="10">
        <v>62.636281808200003</v>
      </c>
      <c r="S5" s="10">
        <v>52.062587737999998</v>
      </c>
      <c r="T5" s="10">
        <v>67.669048150400002</v>
      </c>
      <c r="U5" s="10">
        <v>78.952083587600001</v>
      </c>
      <c r="V5" s="10">
        <v>51.8614123662</v>
      </c>
      <c r="W5" s="10">
        <v>28.220647830000001</v>
      </c>
      <c r="X5" s="10">
        <v>-26.225421579999999</v>
      </c>
      <c r="Z5" t="str">
        <v>PM_6km</v>
      </c>
      <c r="AB5" s="2" t="s">
        <v>24</v>
      </c>
      <c r="AC5" s="3">
        <f t="shared" ref="AC5:AI10" si="1">_xlfn.LET(
_xlpm.pm, INDEX($Q$2:$V$349, , MATCH($Z5, $Q$1:$V$1, 0)),
_xlpm.var, INDEX($D$2:$P$349, , MATCH(AC$29, $D$1:$P$1, 0)),
PEARSON(_xlpm.pm, _xlpm.var)
)</f>
        <v>-0.21898058238477408</v>
      </c>
      <c r="AD5" s="3">
        <f t="shared" si="0"/>
        <v>0.35730249259688979</v>
      </c>
      <c r="AE5" s="3">
        <f t="shared" si="1"/>
        <v>0.13552406759534943</v>
      </c>
      <c r="AF5" s="3">
        <f t="shared" si="1"/>
        <v>7.1798924320947047E-2</v>
      </c>
      <c r="AG5" s="3">
        <f t="shared" si="1"/>
        <v>2.4483823553527451E-2</v>
      </c>
      <c r="AH5" s="3">
        <f t="shared" si="1"/>
        <v>-7.3942377170017615E-2</v>
      </c>
      <c r="AI5" s="3">
        <f t="shared" si="1"/>
        <v>-9.2714400874021663E-2</v>
      </c>
      <c r="AJ5" s="3">
        <f>_xlfn.LET(
_xlpm.pm, INDEX($Q$2:$V$349, , MATCH($Z5, $Q$1:$V$1, 0)),
_xlpm.var, INDEX($D$2:$P$349, , MATCH(AN$29, $D$1:$P$1, 0)),
PEARSON(_xlpm.pm, _xlpm.var)
)</f>
        <v>9.8625204744036865E-4</v>
      </c>
      <c r="AO5" s="9" t="s">
        <v>3</v>
      </c>
      <c r="AP5" s="9">
        <v>2.736607639857136E-2</v>
      </c>
      <c r="AQ5" s="9">
        <v>2.5015949115519743E-3</v>
      </c>
      <c r="AR5" s="9">
        <v>2.2364108721005034E-2</v>
      </c>
      <c r="AS5" s="9">
        <v>2.5643250609817857E-3</v>
      </c>
      <c r="AT5" s="9">
        <v>3.4909859672074176E-2</v>
      </c>
      <c r="AU5" s="9">
        <v>3.282792626558157E-3</v>
      </c>
      <c r="AV5" s="9"/>
    </row>
    <row r="6" spans="1:48" ht="19.899999999999999" customHeight="1" x14ac:dyDescent="0.45">
      <c r="A6">
        <v>79700035</v>
      </c>
      <c r="B6" t="s">
        <v>22</v>
      </c>
      <c r="D6">
        <v>1</v>
      </c>
      <c r="E6" s="10">
        <v>0.65255237332199889</v>
      </c>
      <c r="F6" s="10">
        <v>0.11148402853455922</v>
      </c>
      <c r="G6" s="10">
        <v>0.77495450473650118</v>
      </c>
      <c r="H6" s="10">
        <v>0.5875814322680144</v>
      </c>
      <c r="I6" s="10">
        <v>0.69264216202414752</v>
      </c>
      <c r="J6" s="10">
        <v>3.3794423275678644E-2</v>
      </c>
      <c r="K6" s="10">
        <v>1.8142595378749349E-2</v>
      </c>
      <c r="L6" s="10">
        <v>0.36600015290068749</v>
      </c>
      <c r="M6" s="10">
        <v>0.59311507390576312</v>
      </c>
      <c r="N6" s="10">
        <v>0.44629713960935286</v>
      </c>
      <c r="O6" s="10">
        <v>0.5295962057022896</v>
      </c>
      <c r="P6" s="10">
        <v>0.4837521430295233</v>
      </c>
      <c r="Q6" s="10">
        <v>43.674060821499999</v>
      </c>
      <c r="R6" s="10">
        <v>56.362564333000002</v>
      </c>
      <c r="S6" s="10">
        <v>47.731615374199997</v>
      </c>
      <c r="T6" s="10">
        <v>61.0101041486</v>
      </c>
      <c r="U6" s="10">
        <v>70.052239694899995</v>
      </c>
      <c r="V6" s="10">
        <v>46.656303036600001</v>
      </c>
      <c r="W6" s="10">
        <v>28.18936733</v>
      </c>
      <c r="X6" s="10">
        <v>-26.22824949</v>
      </c>
      <c r="Z6" t="str">
        <v>summer</v>
      </c>
      <c r="AB6" s="2" t="s">
        <v>25</v>
      </c>
      <c r="AC6" s="3">
        <f t="shared" si="1"/>
        <v>-0.14641982548430141</v>
      </c>
      <c r="AD6" s="3">
        <f t="shared" si="0"/>
        <v>0.27115173974093942</v>
      </c>
      <c r="AE6" s="3">
        <f>_xlfn.LET(
_xlpm.pm, INDEX($Q$2:$V$349, , MATCH($Z6, $Q$1:$V$1, 0)),
_xlpm.var, INDEX($D$2:$P$349, , MATCH(AE$29, $D$1:$P$1, 0)),
PEARSON(_xlpm.pm, _xlpm.var)
)</f>
        <v>0.42042241974628586</v>
      </c>
      <c r="AF6" s="3">
        <f t="shared" si="1"/>
        <v>0.14314361601887307</v>
      </c>
      <c r="AG6" s="3">
        <f t="shared" si="1"/>
        <v>7.9157369092359126E-2</v>
      </c>
      <c r="AH6" s="3">
        <f t="shared" si="1"/>
        <v>-4.1818345299051074E-3</v>
      </c>
      <c r="AI6" s="3">
        <f t="shared" si="1"/>
        <v>-0.2596931535413447</v>
      </c>
      <c r="AJ6" s="3">
        <f>_xlfn.LET(
_xlpm.pm, INDEX($Q$2:$V$349, , MATCH($Z6, $Q$1:$V$1, 0)),
_xlpm.var, INDEX($D$2:$P$349, , MATCH(AK$29, $D$1:$P$1, 0)),
PEARSON(_xlpm.pm, _xlpm.var)
)</f>
        <v>4.9511771470540922E-2</v>
      </c>
      <c r="AO6" s="9" t="s">
        <v>4</v>
      </c>
      <c r="AP6" s="9">
        <v>7.29516776706325E-28</v>
      </c>
      <c r="AQ6" s="9">
        <v>1.55235074644496E-10</v>
      </c>
      <c r="AR6" s="9">
        <v>2.1571299436977798E-6</v>
      </c>
      <c r="AS6" s="9">
        <v>2.0061463410195873E-8</v>
      </c>
      <c r="AT6" s="9">
        <v>3.0452341695829536E-14</v>
      </c>
      <c r="AU6" s="9">
        <v>3.225524449157631E-8</v>
      </c>
      <c r="AV6" s="9"/>
    </row>
    <row r="7" spans="1:48" ht="19.899999999999999" customHeight="1" x14ac:dyDescent="0.45">
      <c r="A7">
        <v>79700036</v>
      </c>
      <c r="B7" t="s">
        <v>22</v>
      </c>
      <c r="D7">
        <v>1</v>
      </c>
      <c r="E7" s="10">
        <v>0.37432683315371956</v>
      </c>
      <c r="F7" s="10">
        <v>1.2307924406821453E-2</v>
      </c>
      <c r="G7" s="10">
        <v>0.80422804208900611</v>
      </c>
      <c r="H7" s="10">
        <v>0.47505061554406519</v>
      </c>
      <c r="I7" s="10">
        <v>2.040348066529403E-2</v>
      </c>
      <c r="J7" s="10">
        <v>6.4773084197081573E-3</v>
      </c>
      <c r="K7" s="10">
        <v>1.7849436680488977E-2</v>
      </c>
      <c r="L7" s="10">
        <v>0.4054677333438334</v>
      </c>
      <c r="M7" s="10">
        <v>0.55097171505508158</v>
      </c>
      <c r="N7" s="10">
        <v>0.43492620733251647</v>
      </c>
      <c r="O7" s="10">
        <v>0.52670159458697774</v>
      </c>
      <c r="P7" s="10">
        <v>0.47951681257960227</v>
      </c>
      <c r="Q7" s="10">
        <v>31.205133199700001</v>
      </c>
      <c r="R7" s="10">
        <v>50.992675781199999</v>
      </c>
      <c r="S7" s="10">
        <v>44.2034034729</v>
      </c>
      <c r="T7" s="10">
        <v>54.859157562299998</v>
      </c>
      <c r="U7" s="10">
        <v>62.400421142600003</v>
      </c>
      <c r="V7" s="10">
        <v>42.507724762000002</v>
      </c>
      <c r="W7" s="10">
        <v>28.148317670000001</v>
      </c>
      <c r="X7" s="10">
        <v>-26.232943559999999</v>
      </c>
      <c r="Z7" t="str">
        <v>autumn</v>
      </c>
      <c r="AB7" s="2" t="s">
        <v>26</v>
      </c>
      <c r="AC7" s="3">
        <f t="shared" si="1"/>
        <v>-0.21718332136674967</v>
      </c>
      <c r="AD7" s="3">
        <f t="shared" si="0"/>
        <v>0.3250161026307703</v>
      </c>
      <c r="AE7" s="3">
        <f t="shared" si="1"/>
        <v>7.2651137379010466E-2</v>
      </c>
      <c r="AF7" s="3">
        <f t="shared" si="1"/>
        <v>5.471625837538624E-2</v>
      </c>
      <c r="AG7" s="3">
        <f t="shared" si="1"/>
        <v>1.9761789297510025E-2</v>
      </c>
      <c r="AH7" s="3">
        <f t="shared" si="1"/>
        <v>-8.0517900376916515E-2</v>
      </c>
      <c r="AI7" s="3">
        <f t="shared" si="1"/>
        <v>-5.0414514647256388E-2</v>
      </c>
      <c r="AJ7" s="3">
        <f>_xlfn.LET(
_xlpm.pm, INDEX($Q$2:$V$349, , MATCH($Z7, $Q$1:$V$1, 0)),
_xlpm.var, INDEX($D$2:$P$349, , MATCH(AM$29, $D$1:$P$1, 0)),
PEARSON(_xlpm.pm, _xlpm.var)
)</f>
        <v>5.9109859143897527E-2</v>
      </c>
      <c r="AO7" s="9" t="s">
        <v>5</v>
      </c>
      <c r="AP7" s="9">
        <v>1.3288880374667587E-7</v>
      </c>
      <c r="AQ7" s="9">
        <v>0.19980449510684431</v>
      </c>
      <c r="AR7" s="9">
        <v>1.1485737107374177E-9</v>
      </c>
      <c r="AS7" s="9">
        <v>0.56989065600148048</v>
      </c>
      <c r="AT7" s="9">
        <v>2.7881329619121073E-3</v>
      </c>
      <c r="AU7" s="9">
        <v>3.132220493301964E-5</v>
      </c>
      <c r="AV7" s="9"/>
    </row>
    <row r="8" spans="1:48" ht="19.899999999999999" customHeight="1" x14ac:dyDescent="0.45">
      <c r="A8">
        <v>79700055</v>
      </c>
      <c r="B8" t="s">
        <v>22</v>
      </c>
      <c r="D8">
        <v>1</v>
      </c>
      <c r="E8" s="10">
        <v>0.83991076600970005</v>
      </c>
      <c r="F8" s="10">
        <v>1.8334933283118471E-2</v>
      </c>
      <c r="G8" s="10">
        <v>0.65885269305689553</v>
      </c>
      <c r="H8" s="10">
        <v>0</v>
      </c>
      <c r="I8" s="10">
        <v>0.20811965116405998</v>
      </c>
      <c r="J8" s="10">
        <v>0.11233916270156247</v>
      </c>
      <c r="K8" s="10">
        <v>0.1380524540249275</v>
      </c>
      <c r="L8" s="10">
        <v>0.26892302245149763</v>
      </c>
      <c r="M8" s="10">
        <v>0.36748813012489601</v>
      </c>
      <c r="N8" s="10">
        <v>0.24250292286249206</v>
      </c>
      <c r="O8" s="10">
        <v>0.30378968053862471</v>
      </c>
      <c r="P8" s="10">
        <v>0.29567593899437761</v>
      </c>
      <c r="Q8" s="10">
        <v>36.598681259199999</v>
      </c>
      <c r="R8" s="10">
        <v>67.148739624000001</v>
      </c>
      <c r="S8" s="10">
        <v>54.972822189299997</v>
      </c>
      <c r="T8" s="10">
        <v>72.154623413099998</v>
      </c>
      <c r="U8" s="10">
        <v>84.022849273700004</v>
      </c>
      <c r="V8" s="10">
        <v>57.444660949700001</v>
      </c>
      <c r="W8" s="10">
        <v>28.14879062</v>
      </c>
      <c r="X8" s="10">
        <v>-26.35151948</v>
      </c>
      <c r="Z8" t="str">
        <v>winter</v>
      </c>
      <c r="AB8" s="2" t="s">
        <v>27</v>
      </c>
      <c r="AC8" s="3">
        <f t="shared" si="1"/>
        <v>-0.23811951392104966</v>
      </c>
      <c r="AD8" s="3">
        <f t="shared" si="0"/>
        <v>0.4069542306851287</v>
      </c>
      <c r="AE8" s="3">
        <f t="shared" si="1"/>
        <v>-0.10635712057192903</v>
      </c>
      <c r="AF8" s="3">
        <f t="shared" si="1"/>
        <v>1.219528497096771E-2</v>
      </c>
      <c r="AG8" s="3">
        <f t="shared" si="1"/>
        <v>-9.7861102059365796E-4</v>
      </c>
      <c r="AH8" s="3">
        <f t="shared" si="1"/>
        <v>-0.11878022153449436</v>
      </c>
      <c r="AI8" s="3">
        <f t="shared" si="1"/>
        <v>5.346455316346068E-2</v>
      </c>
      <c r="AJ8" s="3">
        <f>_xlfn.LET(
_xlpm.pm, INDEX($Q$2:$V$349, , MATCH($Z8, $Q$1:$V$1, 0)),
_xlpm.var, INDEX($D$2:$P$349, , MATCH(AJ$29, $D$1:$P$1, 0)),
PEARSON(_xlpm.pm, _xlpm.var)
)</f>
        <v>-7.4359706361219788E-2</v>
      </c>
      <c r="AO8" s="9" t="s">
        <v>6</v>
      </c>
      <c r="AP8" s="9">
        <v>9.35779349358285E-2</v>
      </c>
      <c r="AQ8" s="9">
        <v>0.85814644895033654</v>
      </c>
      <c r="AR8" s="9">
        <v>0.26430128355167387</v>
      </c>
      <c r="AS8" s="9">
        <v>0.9478657478134489</v>
      </c>
      <c r="AT8" s="9">
        <v>0.54361578408146549</v>
      </c>
      <c r="AU8" s="9">
        <v>0.83617338010501407</v>
      </c>
      <c r="AV8" s="9"/>
    </row>
    <row r="9" spans="1:48" ht="19.899999999999999" customHeight="1" x14ac:dyDescent="0.45">
      <c r="A9">
        <v>79700056</v>
      </c>
      <c r="B9" t="s">
        <v>22</v>
      </c>
      <c r="D9">
        <v>1</v>
      </c>
      <c r="E9" s="10">
        <v>0.65649436827102203</v>
      </c>
      <c r="F9" s="10">
        <v>4.5350547136589522E-2</v>
      </c>
      <c r="G9" s="10">
        <v>0.67166628419356911</v>
      </c>
      <c r="H9" s="10">
        <v>2.1008788693915141E-2</v>
      </c>
      <c r="I9" s="10">
        <v>0.24318423953995458</v>
      </c>
      <c r="J9" s="10">
        <v>9.4637883791263921E-2</v>
      </c>
      <c r="K9" s="10">
        <v>4.2409829450044872E-2</v>
      </c>
      <c r="L9" s="10">
        <v>0.2902597161718512</v>
      </c>
      <c r="M9" s="10">
        <v>0.39819764667632707</v>
      </c>
      <c r="N9" s="10">
        <v>0.32418005886053486</v>
      </c>
      <c r="O9" s="10">
        <v>0.39207388897490902</v>
      </c>
      <c r="P9" s="10">
        <v>0.35117782767090555</v>
      </c>
      <c r="Q9" s="10">
        <v>35.834851582799999</v>
      </c>
      <c r="R9" s="10">
        <v>65.3532555898</v>
      </c>
      <c r="S9" s="10">
        <v>54.060534795099997</v>
      </c>
      <c r="T9" s="10">
        <v>69.621773401900001</v>
      </c>
      <c r="U9" s="10">
        <v>81.598027547200005</v>
      </c>
      <c r="V9" s="10">
        <v>56.132682800300003</v>
      </c>
      <c r="W9" s="10">
        <v>28.132666690000001</v>
      </c>
      <c r="X9" s="10">
        <v>-26.35323146</v>
      </c>
      <c r="Z9" t="str">
        <v>spring</v>
      </c>
      <c r="AB9" s="2" t="s">
        <v>28</v>
      </c>
      <c r="AC9" s="3">
        <f t="shared" si="1"/>
        <v>-0.20093250922057593</v>
      </c>
      <c r="AD9" s="3">
        <f t="shared" si="0"/>
        <v>0.30834695150165109</v>
      </c>
      <c r="AE9" s="3">
        <f t="shared" si="1"/>
        <v>0.30255484343112438</v>
      </c>
      <c r="AF9" s="3">
        <f t="shared" si="1"/>
        <v>0.10379737475555385</v>
      </c>
      <c r="AG9" s="3">
        <f t="shared" si="1"/>
        <v>1.3396536735131222E-2</v>
      </c>
      <c r="AH9" s="3">
        <f t="shared" si="1"/>
        <v>-3.9495734497209195E-2</v>
      </c>
      <c r="AI9" s="3">
        <f t="shared" si="1"/>
        <v>-0.2015982749920622</v>
      </c>
      <c r="AJ9" s="3">
        <f>_xlfn.LET(
_xlpm.pm, INDEX($Q$2:$V$349, , MATCH($Z9, $Q$1:$V$1, 0)),
_xlpm.var, INDEX($D$2:$P$349, , MATCH(AL$29, $D$1:$P$1, 0)),
PEARSON(_xlpm.pm, _xlpm.var)
)</f>
        <v>-2.9043198829548322E-2</v>
      </c>
      <c r="AO9" s="9" t="s">
        <v>7</v>
      </c>
      <c r="AP9" s="9">
        <v>0.37314088941395152</v>
      </c>
      <c r="AQ9" s="9">
        <v>0.50226455672361037</v>
      </c>
      <c r="AR9" s="9">
        <v>0.23365875621881474</v>
      </c>
      <c r="AS9" s="9">
        <v>0.72806933748074232</v>
      </c>
      <c r="AT9" s="9">
        <v>9.0859436011772599E-2</v>
      </c>
      <c r="AU9" s="9">
        <v>0.32608079307775206</v>
      </c>
      <c r="AV9" s="9"/>
    </row>
    <row r="10" spans="1:48" ht="19.899999999999999" customHeight="1" x14ac:dyDescent="0.45">
      <c r="A10">
        <v>79700057</v>
      </c>
      <c r="B10" t="s">
        <v>22</v>
      </c>
      <c r="D10">
        <v>1</v>
      </c>
      <c r="E10" s="10">
        <v>0.56585864192021218</v>
      </c>
      <c r="F10" s="10">
        <v>2.6246184039118523E-2</v>
      </c>
      <c r="G10" s="10">
        <v>0.67328858985158146</v>
      </c>
      <c r="H10" s="10">
        <v>0.14211632964611465</v>
      </c>
      <c r="I10" s="10">
        <v>0.17498737118546567</v>
      </c>
      <c r="J10" s="10">
        <v>7.4014588111927376E-2</v>
      </c>
      <c r="K10" s="10">
        <v>5.6279949696669898E-2</v>
      </c>
      <c r="L10" s="10">
        <v>0.35905060127390526</v>
      </c>
      <c r="M10" s="10">
        <v>0.45733459574554897</v>
      </c>
      <c r="N10" s="10">
        <v>0.34236948007280044</v>
      </c>
      <c r="O10" s="10">
        <v>0.49023925211196373</v>
      </c>
      <c r="P10" s="10">
        <v>0.4122484823010546</v>
      </c>
      <c r="Q10" s="10">
        <v>33.157105445900001</v>
      </c>
      <c r="R10" s="10">
        <v>64.912925720199993</v>
      </c>
      <c r="S10" s="10">
        <v>53.8368761698</v>
      </c>
      <c r="T10" s="10">
        <v>68.593798828100006</v>
      </c>
      <c r="U10" s="10">
        <v>81.073113504999995</v>
      </c>
      <c r="V10" s="10">
        <v>56.147912851999997</v>
      </c>
      <c r="W10" s="10">
        <v>28.123148950000001</v>
      </c>
      <c r="X10" s="10">
        <v>-26.36480972</v>
      </c>
      <c r="AB10" s="2"/>
      <c r="AC10" s="4"/>
      <c r="AD10" s="4"/>
      <c r="AE10" s="4"/>
      <c r="AF10" s="4"/>
      <c r="AG10" s="4"/>
      <c r="AH10" s="4"/>
      <c r="AI10" s="4"/>
      <c r="AJ10" s="4"/>
      <c r="AO10" s="9" t="s">
        <v>8</v>
      </c>
      <c r="AP10" s="9">
        <v>3.2657678103991318E-2</v>
      </c>
      <c r="AQ10" s="9">
        <v>0.24588478022894411</v>
      </c>
      <c r="AR10" s="9">
        <v>0.90832131098427049</v>
      </c>
      <c r="AS10" s="9">
        <v>0.47508818285637067</v>
      </c>
      <c r="AT10" s="9">
        <v>0.11833116502987241</v>
      </c>
      <c r="AU10" s="9">
        <v>0.25714738630826672</v>
      </c>
      <c r="AV10" s="9"/>
    </row>
    <row r="11" spans="1:48" ht="19.899999999999999" customHeight="1" x14ac:dyDescent="0.45">
      <c r="A11">
        <v>79900050</v>
      </c>
      <c r="B11" t="s">
        <v>29</v>
      </c>
      <c r="D11">
        <v>1</v>
      </c>
      <c r="E11" s="10">
        <v>0.4179179909951482</v>
      </c>
      <c r="F11" s="10">
        <v>2.2553146372737205E-2</v>
      </c>
      <c r="G11" s="10">
        <v>0.24291373691171064</v>
      </c>
      <c r="H11" s="10">
        <v>8.8686193973795568E-2</v>
      </c>
      <c r="I11" s="10">
        <v>1.8238613227781295E-2</v>
      </c>
      <c r="J11" s="10">
        <v>8.4055861277734407E-3</v>
      </c>
      <c r="K11" s="10">
        <v>5.1144322770580418E-2</v>
      </c>
      <c r="L11" s="10">
        <v>0.69517419329370034</v>
      </c>
      <c r="M11" s="10">
        <v>0.80545839008403564</v>
      </c>
      <c r="N11" s="10">
        <v>0.63337198984552889</v>
      </c>
      <c r="O11" s="10">
        <v>0.77645922294060177</v>
      </c>
      <c r="P11" s="10">
        <v>0.7276159490409666</v>
      </c>
      <c r="Q11" s="10">
        <v>25.450370788600001</v>
      </c>
      <c r="R11" s="10">
        <v>60.088436848400001</v>
      </c>
      <c r="S11" s="10">
        <v>42.0571230296</v>
      </c>
      <c r="T11" s="10">
        <v>62.102611335500001</v>
      </c>
      <c r="U11" s="10">
        <v>86.852837846100002</v>
      </c>
      <c r="V11" s="10">
        <v>49.341177966099998</v>
      </c>
      <c r="W11" s="10">
        <v>28.205794480000002</v>
      </c>
      <c r="X11" s="10">
        <v>-25.6721</v>
      </c>
      <c r="Z11" t="str" cm="1">
        <f t="array" ref="Z11:Z16">TRANSPOSE(_xlfn.UNIQUE($Q$1:$V$1))</f>
        <v>PM_2km</v>
      </c>
      <c r="AB11" s="2" t="s">
        <v>23</v>
      </c>
      <c r="AC11" s="3" cm="1">
        <f t="array" ref="AC11:AJ11">_xlfn.LET(
_xlpm.x, INDEX($AP$17:$AU$24, , MATCH($Z11, $AP$15:$AU$15, 0)),
TRANSPOSE(_xlpm.x)
)</f>
        <v>-3.7483498402964273</v>
      </c>
      <c r="AD11" s="3">
        <v>32.84333102493229</v>
      </c>
      <c r="AE11" s="3">
        <v>10.585657396865905</v>
      </c>
      <c r="AF11" s="3">
        <v>-4.2403068710390812</v>
      </c>
      <c r="AG11" s="3">
        <v>1.7112160862270684</v>
      </c>
      <c r="AH11" s="3">
        <v>-11.069962739062248</v>
      </c>
      <c r="AI11" s="3">
        <v>0.98070935490767397</v>
      </c>
      <c r="AJ11" s="3">
        <v>-14.984154573491878</v>
      </c>
      <c r="AO11" s="9" t="s">
        <v>39</v>
      </c>
      <c r="AP11" s="9">
        <v>0.77011421000340918</v>
      </c>
      <c r="AQ11" s="9">
        <v>3.9626425285006803E-2</v>
      </c>
      <c r="AR11" s="9">
        <v>9.4672107762701338E-2</v>
      </c>
      <c r="AS11" s="9">
        <v>0.1413674753480797</v>
      </c>
      <c r="AT11" s="9">
        <v>2.2827763140412228E-2</v>
      </c>
      <c r="AU11" s="9">
        <v>2.0733338028921178E-2</v>
      </c>
      <c r="AV11" s="9"/>
    </row>
    <row r="12" spans="1:48" ht="19.899999999999999" customHeight="1" x14ac:dyDescent="0.45">
      <c r="A12">
        <v>79900051</v>
      </c>
      <c r="B12" t="s">
        <v>29</v>
      </c>
      <c r="D12">
        <v>1</v>
      </c>
      <c r="E12" s="10">
        <v>0.39621929067827422</v>
      </c>
      <c r="F12" s="10">
        <v>4.0066161641407909E-2</v>
      </c>
      <c r="G12" s="10">
        <v>0.5722467650563049</v>
      </c>
      <c r="H12" s="10">
        <v>5.1215451317749537E-3</v>
      </c>
      <c r="I12" s="10">
        <v>9.303085822876099E-2</v>
      </c>
      <c r="J12" s="10">
        <v>3.7002650343907158E-2</v>
      </c>
      <c r="K12" s="10">
        <v>0.15278298755016267</v>
      </c>
      <c r="L12" s="10">
        <v>0.43857176315768831</v>
      </c>
      <c r="M12" s="10">
        <v>0.48582681777547398</v>
      </c>
      <c r="N12" s="10">
        <v>0.37263061642677558</v>
      </c>
      <c r="O12" s="10">
        <v>0.59187317403692352</v>
      </c>
      <c r="P12" s="10">
        <v>0.47222559284921539</v>
      </c>
      <c r="Q12" s="10">
        <v>26.39777565</v>
      </c>
      <c r="R12" s="10">
        <v>54.569556692399999</v>
      </c>
      <c r="S12" s="10">
        <v>43.6872223564</v>
      </c>
      <c r="T12" s="10">
        <v>56.6829693006</v>
      </c>
      <c r="U12" s="10">
        <v>69.628067016599999</v>
      </c>
      <c r="V12" s="10">
        <v>48.279971412999998</v>
      </c>
      <c r="W12" s="10">
        <v>28.082187399999999</v>
      </c>
      <c r="X12" s="10">
        <v>-25.783196239999999</v>
      </c>
      <c r="Z12" t="str">
        <v>PM_6km</v>
      </c>
      <c r="AB12" s="2" t="s">
        <v>24</v>
      </c>
      <c r="AC12" s="3" cm="1">
        <f t="array" ref="AC12:AJ12">_xlfn.LET(
_xlpm.x, INDEX($AP$17:$AU$24, , MATCH($Z12, $AP$15:$AU$15, 0)),
TRANSPOSE(_xlpm.x)
)</f>
        <v>-8.3174671979002426</v>
      </c>
      <c r="AD12" s="3">
        <v>29.187391834211994</v>
      </c>
      <c r="AE12" s="3">
        <v>4.0730799074249902</v>
      </c>
      <c r="AF12" s="3">
        <v>-0.72810300890159851</v>
      </c>
      <c r="AG12" s="3">
        <v>-2.0804424509615842</v>
      </c>
      <c r="AH12" s="3">
        <v>-9.6834937603680373</v>
      </c>
      <c r="AI12" s="3">
        <v>-11.181297422675925</v>
      </c>
      <c r="AJ12" s="3">
        <v>-10.631509582803119</v>
      </c>
      <c r="AO12" s="9" t="s">
        <v>37</v>
      </c>
      <c r="AP12" s="9">
        <v>8.1719165506912474E-8</v>
      </c>
      <c r="AQ12" s="9">
        <v>1.6474757276685258E-2</v>
      </c>
      <c r="AR12" s="9">
        <v>0.93742775693435387</v>
      </c>
      <c r="AS12" s="9">
        <v>0.10875630994835087</v>
      </c>
      <c r="AT12" s="9">
        <v>3.8666379726763617E-4</v>
      </c>
      <c r="AU12" s="9">
        <v>1.5958693219958988E-2</v>
      </c>
      <c r="AV12" s="9"/>
    </row>
    <row r="13" spans="1:48" ht="19.899999999999999" customHeight="1" x14ac:dyDescent="0.45">
      <c r="A13">
        <v>74201001</v>
      </c>
      <c r="B13" t="s">
        <v>30</v>
      </c>
      <c r="D13">
        <v>1</v>
      </c>
      <c r="E13" s="10">
        <v>0.31440366684106386</v>
      </c>
      <c r="F13" s="10">
        <v>3.2320168219114494E-2</v>
      </c>
      <c r="G13" s="10">
        <v>0.50993923911733074</v>
      </c>
      <c r="H13" s="10">
        <v>3.7848578831353272E-2</v>
      </c>
      <c r="I13" s="10">
        <v>3.1826100651701317E-3</v>
      </c>
      <c r="J13" s="10">
        <v>3.4474806306568464E-3</v>
      </c>
      <c r="K13" s="10">
        <v>0.14996305799458956</v>
      </c>
      <c r="L13" s="10">
        <v>0.59345035191186291</v>
      </c>
      <c r="M13" s="10">
        <v>0.76342389502220853</v>
      </c>
      <c r="N13" s="10">
        <v>0.62884094088660902</v>
      </c>
      <c r="O13" s="10">
        <v>0.76491812424960315</v>
      </c>
      <c r="P13" s="10">
        <v>0.68765832801757087</v>
      </c>
      <c r="Q13" s="10">
        <v>25.9545097351</v>
      </c>
      <c r="R13" s="10">
        <v>57.865818023700001</v>
      </c>
      <c r="S13" s="10">
        <v>44.527595519999998</v>
      </c>
      <c r="T13" s="10">
        <v>58.718349456799999</v>
      </c>
      <c r="U13" s="10">
        <v>76.039581298800002</v>
      </c>
      <c r="V13" s="10">
        <v>52.177742004400002</v>
      </c>
      <c r="W13" s="10">
        <v>27.99353576</v>
      </c>
      <c r="X13" s="10">
        <v>-26.673111200000001</v>
      </c>
      <c r="Z13" t="str">
        <v>summer</v>
      </c>
      <c r="AB13" s="2" t="s">
        <v>25</v>
      </c>
      <c r="AC13" s="3" cm="1">
        <f t="array" ref="AC13:AJ13">_xlfn.LET(
_xlpm.x, INDEX($AP$17:$AU$24, , MATCH($Z13, $AP$15:$AU$15, 0)),
TRANSPOSE(_xlpm.x)
)</f>
        <v>-5.0538389877128225</v>
      </c>
      <c r="AD13" s="3">
        <v>16.48397423270373</v>
      </c>
      <c r="AE13" s="3">
        <v>15.271242574957085</v>
      </c>
      <c r="AF13" s="3">
        <v>3.4636919933876698</v>
      </c>
      <c r="AG13" s="3">
        <v>2.7686357590081911</v>
      </c>
      <c r="AH13" s="3">
        <v>-0.70519617679178737</v>
      </c>
      <c r="AI13" s="3">
        <v>-6.8695471431579449</v>
      </c>
      <c r="AJ13" s="3">
        <v>-0.24218963824705497</v>
      </c>
    </row>
    <row r="14" spans="1:48" ht="19.899999999999999" customHeight="1" x14ac:dyDescent="0.45">
      <c r="A14">
        <v>74201002</v>
      </c>
      <c r="B14" t="s">
        <v>30</v>
      </c>
      <c r="D14">
        <v>1</v>
      </c>
      <c r="E14" s="10">
        <v>0.8191751065554439</v>
      </c>
      <c r="F14" s="10">
        <v>5.5522471091496571E-2</v>
      </c>
      <c r="G14" s="10">
        <v>0.60565234482163166</v>
      </c>
      <c r="H14" s="10">
        <v>1.2422483859265056E-3</v>
      </c>
      <c r="I14" s="10">
        <v>6.9567318492095798E-2</v>
      </c>
      <c r="J14" s="10">
        <v>8.1769923593305413E-2</v>
      </c>
      <c r="K14" s="10">
        <v>7.9030706522612029E-2</v>
      </c>
      <c r="L14" s="10">
        <v>0.44149721035158673</v>
      </c>
      <c r="M14" s="10">
        <v>0.50936885836624057</v>
      </c>
      <c r="N14" s="10">
        <v>0.42058964307758978</v>
      </c>
      <c r="O14" s="10">
        <v>0.56452016675994598</v>
      </c>
      <c r="P14" s="10">
        <v>0.48399396963884078</v>
      </c>
      <c r="Q14" s="10">
        <v>25.582164764400002</v>
      </c>
      <c r="R14" s="10">
        <v>42.747718334200002</v>
      </c>
      <c r="S14" s="10">
        <v>35.398553848299997</v>
      </c>
      <c r="T14" s="10">
        <v>49.375219821899996</v>
      </c>
      <c r="U14" s="10">
        <v>52.730937957800002</v>
      </c>
      <c r="V14" s="10">
        <v>33.486163139299997</v>
      </c>
      <c r="W14" s="10">
        <v>27.832914070000001</v>
      </c>
      <c r="X14" s="10">
        <v>-26.596137580000001</v>
      </c>
      <c r="Z14" t="str">
        <v>autumn</v>
      </c>
      <c r="AB14" s="2" t="s">
        <v>26</v>
      </c>
      <c r="AC14" s="3" cm="1">
        <f t="array" ref="AC14:AJ14">_xlfn.LET(
_xlpm.x, INDEX($AP$17:$AU$24, , MATCH($Z14, $AP$15:$AU$15, 0)),
TRANSPOSE(_xlpm.x)
)</f>
        <v>-10.521610477350464</v>
      </c>
      <c r="AD14" s="3">
        <v>30.91936123956296</v>
      </c>
      <c r="AE14" s="3">
        <v>2.1912241325050061</v>
      </c>
      <c r="AF14" s="3">
        <v>-0.32705801271504242</v>
      </c>
      <c r="AG14" s="3">
        <v>-1.2892748971052015</v>
      </c>
      <c r="AH14" s="3">
        <v>-7.3644777708127549</v>
      </c>
      <c r="AI14" s="3">
        <v>-9.705744107371288</v>
      </c>
      <c r="AJ14" s="3">
        <v>-8.502923214863813</v>
      </c>
    </row>
    <row r="15" spans="1:48" ht="19.899999999999999" customHeight="1" x14ac:dyDescent="0.65">
      <c r="A15">
        <v>74201003</v>
      </c>
      <c r="B15" t="s">
        <v>30</v>
      </c>
      <c r="D15">
        <v>1</v>
      </c>
      <c r="E15" s="10">
        <v>0.53507609220568431</v>
      </c>
      <c r="F15" s="10">
        <v>3.7193074328785679E-2</v>
      </c>
      <c r="G15" s="10">
        <v>0.57244472722509165</v>
      </c>
      <c r="H15" s="10">
        <v>3.2192150783279017E-4</v>
      </c>
      <c r="I15" s="10">
        <v>0.13845516838447894</v>
      </c>
      <c r="J15" s="10">
        <v>3.2933418620874698E-2</v>
      </c>
      <c r="K15" s="10">
        <v>0.1925960062031819</v>
      </c>
      <c r="L15" s="10">
        <v>0.47089678246989897</v>
      </c>
      <c r="M15" s="10">
        <v>0.54707794295735623</v>
      </c>
      <c r="N15" s="10">
        <v>0.47259962414563855</v>
      </c>
      <c r="O15" s="10">
        <v>0.67369736063027152</v>
      </c>
      <c r="P15" s="10">
        <v>0.54106792755079136</v>
      </c>
      <c r="Q15" s="10">
        <v>20.283762931799998</v>
      </c>
      <c r="R15" s="10">
        <v>34.795447213300001</v>
      </c>
      <c r="S15" s="10">
        <v>27.519457589999998</v>
      </c>
      <c r="T15" s="10">
        <v>40.184605189700001</v>
      </c>
      <c r="U15" s="10">
        <v>43.099478403699997</v>
      </c>
      <c r="V15" s="10">
        <v>28.378239586199999</v>
      </c>
      <c r="W15" s="10">
        <v>27.845499369999999</v>
      </c>
      <c r="X15" s="10">
        <v>-26.681263059999999</v>
      </c>
      <c r="Z15" t="str">
        <v>winter</v>
      </c>
      <c r="AB15" s="2" t="s">
        <v>27</v>
      </c>
      <c r="AC15" s="3" cm="1">
        <f t="array" ref="AC15:AJ15">_xlfn.LET(
_xlpm.x, INDEX($AP$17:$AU$24, , MATCH($Z15, $AP$15:$AU$15, 0)),
TRANSPOSE(_xlpm.x)
)</f>
        <v>-7.6293294625806425</v>
      </c>
      <c r="AD15" s="3">
        <v>46.730007314522965</v>
      </c>
      <c r="AE15" s="3">
        <v>-12.803180411136509</v>
      </c>
      <c r="AF15" s="3">
        <v>-3.2492219981789958</v>
      </c>
      <c r="AG15" s="3">
        <v>-7.1142600831925051</v>
      </c>
      <c r="AH15" s="3">
        <v>-16.984574543155532</v>
      </c>
      <c r="AI15" s="3">
        <v>-16.489290158432254</v>
      </c>
      <c r="AJ15" s="3">
        <v>-20.059224849618204</v>
      </c>
      <c r="AP15" s="15" t="s">
        <v>14</v>
      </c>
      <c r="AQ15" s="15" t="s">
        <v>15</v>
      </c>
      <c r="AR15" s="15" t="s">
        <v>16</v>
      </c>
      <c r="AS15" s="15" t="s">
        <v>17</v>
      </c>
      <c r="AT15" s="15" t="s">
        <v>18</v>
      </c>
      <c r="AU15" s="15" t="s">
        <v>19</v>
      </c>
      <c r="AV15" s="13" t="s">
        <v>41</v>
      </c>
    </row>
    <row r="16" spans="1:48" ht="19.899999999999999" customHeight="1" x14ac:dyDescent="0.45">
      <c r="A16">
        <v>74201004</v>
      </c>
      <c r="B16" t="s">
        <v>30</v>
      </c>
      <c r="D16">
        <v>1</v>
      </c>
      <c r="E16" s="10">
        <v>0.25824933345790418</v>
      </c>
      <c r="F16" s="10">
        <v>2.3361925072227115E-2</v>
      </c>
      <c r="G16" s="10">
        <v>0.51332203063142734</v>
      </c>
      <c r="H16" s="10">
        <v>2.1373371387816958E-3</v>
      </c>
      <c r="I16" s="10">
        <v>1.8980955309453186E-3</v>
      </c>
      <c r="J16" s="10">
        <v>5.0059448235248777E-3</v>
      </c>
      <c r="K16" s="10">
        <v>0.11244903884704495</v>
      </c>
      <c r="L16" s="10">
        <v>0.54582837042799204</v>
      </c>
      <c r="M16" s="10">
        <v>0.79718111339824682</v>
      </c>
      <c r="N16" s="10">
        <v>0.56960657772198942</v>
      </c>
      <c r="O16" s="10">
        <v>0.80234849171282629</v>
      </c>
      <c r="P16" s="10">
        <v>0.67874113831526373</v>
      </c>
      <c r="Q16" s="10">
        <v>21.933561960900001</v>
      </c>
      <c r="R16" s="10">
        <v>37.276708654499998</v>
      </c>
      <c r="S16" s="10">
        <v>29.6597970756</v>
      </c>
      <c r="T16" s="10">
        <v>42.201117695999997</v>
      </c>
      <c r="U16" s="10">
        <v>46.254693881900003</v>
      </c>
      <c r="V16" s="10">
        <v>30.991219726800001</v>
      </c>
      <c r="W16" s="10">
        <v>27.873012899999999</v>
      </c>
      <c r="X16" s="10">
        <v>-26.724430309999999</v>
      </c>
      <c r="Z16" t="str">
        <v>spring</v>
      </c>
      <c r="AB16" s="2" t="s">
        <v>28</v>
      </c>
      <c r="AC16" s="3" cm="1">
        <f t="array" ref="AC16:AJ16">_xlfn.LET(
_xlpm.x, INDEX($AP$17:$AU$24, , MATCH($Z16, $AP$15:$AU$15, 0)),
TRANSPOSE(_xlpm.x)
)</f>
        <v>-6.6741289787252036</v>
      </c>
      <c r="AD16" s="3">
        <v>20.907199996542829</v>
      </c>
      <c r="AE16" s="3">
        <v>11.196063006725131</v>
      </c>
      <c r="AF16" s="3">
        <v>-0.69941373180620303</v>
      </c>
      <c r="AG16" s="3">
        <v>-2.5913068472186751</v>
      </c>
      <c r="AH16" s="3">
        <v>-7.7291089258328611</v>
      </c>
      <c r="AI16" s="3">
        <v>-10.580286278500694</v>
      </c>
      <c r="AJ16" s="3">
        <v>-8.2801455968378832</v>
      </c>
      <c r="AO16" s="14" t="s">
        <v>2</v>
      </c>
      <c r="AP16" s="14" cm="1">
        <f t="array" ref="AP16:AP24">_xlfn.LET(
_xlpm.var_sel, CHOOSE({1,2,3,4,5,6,7,8,9},
    $D$2:$D$349,
    $E$2:$E$349,
    $F$2:$F$349,
    $G$2:$G$349,
    $H$2:$H$349,
    $I$2:$I$349,
    $J$2:$J$349,
    $K$2:$K$349,
INDEX($L$2:$P$349, ,MATCH($AP1, $L$1:$P$1, 0))
),
_xlpm.var, _xlpm.var_sel,
_xlpm.n, ROWS(_xlpm.var),
_xlpm.p, COLUMNS(_xlpm.var),
_xlpm.pm, Q$2:Q$349,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29.691663631142092</v>
      </c>
      <c r="AQ16" s="14" cm="1">
        <f t="array" ref="AQ16:AQ24">_xlfn.LET(
_xlpm.var_sel, CHOOSE({1,2,3,4,5,6,7,8,9},
    $D$2:$D$349,
    $E$2:$E$349,
    $F$2:$F$349,
    $G$2:$G$349,
    $H$2:$H$349,
    $I$2:$I$349,
    $J$2:$J$349,
    $K$2:$K$349,
INDEX($L$2:$P$349, ,MATCH($AP1, $L$1:$P$1, 0))
),
_xlpm.var, _xlpm.var_sel,
_xlpm.n, ROWS(_xlpm.var),
_xlpm.p, COLUMNS(_xlpm.var),
_xlpm.pm, R$2:R$349,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57.055500390558336</v>
      </c>
      <c r="AR16" s="14" cm="1">
        <f t="array" ref="AR16:AR24">_xlfn.LET(
_xlpm.var_sel, CHOOSE({1,2,3,4,5,6,7,8,9},
    $D$2:$D$349,
    $E$2:$E$349,
    $F$2:$F$349,
    $G$2:$G$349,
    $H$2:$H$349,
    $I$2:$I$349,
    $J$2:$J$349,
    $K$2:$K$349,
INDEX($L$2:$P$349, ,MATCH($AR1, $L$1:$P$1, 0))
),
_xlpm.var, _xlpm.var_sel,
_xlpm.n, ROWS(_xlpm.var),
_xlpm.p, COLUMNS(_xlpm.var),
_xlpm.pm, S$2:S$349,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31.423082824397625</v>
      </c>
      <c r="AS16" s="14" cm="1">
        <f t="array" ref="AS16:AS24">_xlfn.LET(
_xlpm.var_sel, CHOOSE({1,2,3,4,5,6,7,8,9},
    $D$2:$D$349,
    $E$2:$E$349,
    $F$2:$F$349,
    $G$2:$G$349,
    $H$2:$H$349,
    $I$2:$I$349,
    $J$2:$J$349,
    $K$2:$K$349,
INDEX($L$2:$P$349, ,MATCH($AS1, $L$1:$P$1, 0))
),
_xlpm.var, _xlpm.var_sel,
_xlpm.n, ROWS(_xlpm.var),
_xlpm.p, COLUMNS(_xlpm.var),
_xlpm.pm, T$2:T$349,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60.336204638755589</v>
      </c>
      <c r="AT16" s="14" cm="1">
        <f t="array" ref="AT16:AT24">_xlfn.LET(
_xlpm.var_sel, CHOOSE({1,2,3,4,5,6,7,8,9},
    $D$2:$D$349,
    $E$2:$E$349,
    $F$2:$F$349,
    $G$2:$G$349,
    $H$2:$H$349,
    $I$2:$I$349,
    $J$2:$J$349,
    $K$2:$K$349,
INDEX($L$2:$P$349, ,MATCH($AT1, $L$1:$P$1, 0))
),
_xlpm.var, _xlpm.var_sel,
_xlpm.n, ROWS(_xlpm.var),
_xlpm.p, COLUMNS(_xlpm.var),
_xlpm.pm, U$2:U$349,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87.166143491485855</v>
      </c>
      <c r="AU16" s="14" cm="1">
        <f t="array" ref="AU16:AU24">_xlfn.LET(
_xlpm.var_sel, CHOOSE({1,2,3,4,5,6,7,8,9},
    $D$2:$D$349,
    $E$2:$E$349,
    $F$2:$F$349,
    $G$2:$G$349,
    $H$2:$H$349,
    $I$2:$I$349,
    $J$2:$J$349,
    $K$2:$K$349,
INDEX($L$2:$P$349, ,MATCH($AU1, $L$1:$P$1, 0))
),
_xlpm.var, _xlpm.var_sel,
_xlpm.n, ROWS(_xlpm.var),
_xlpm.p, COLUMNS(_xlpm.var),
_xlpm.pm, V$2:V$349,
_xlpm.xx, MMULT(TRANSPOSE(_xlpm.var), _xlpm.var),
_xlpm.xx_inv, MINVERSE(_xlpm.xx),
_xlpm.xy, MMULT(TRANSPOSE(_xlpm.var), _xlpm.pm),
_xlpm.B_cap, MMULT(_xlpm.xx_inv, _xlpm.xy),
_xlpm.beta, _xlpm.B_cap * TRANSPOSE(std_dev_var) / std_dev_pm,
_xlpm.pred_pm, MMULT(_xlpm.var, _xlpm.B_cap),
_xlpm.sum_q, SUMSQ(_xlpm.pm - _xlpm.pred_pm),
_xlpm.df, _xlpm.n-(_xlpm.p+1),
_xlpm.var_B, _xlpm.xx_inv * (_xlpm.sum_q/_xlpm.df),
_xlpm.diagonal, INDEX(_xlpm.var_B, _xlfn.SEQUENCE(_xlpm.p), _xlfn.SEQUENCE(_xlpm.p)),
_xlpm.std_errors, SQRT(_xlpm.diagonal),
_xlpm.t_stat, _xlpm.B_cap/_xlpm.std_errors,
_xlpm.p_value, _xlfn.T.DIST.2T(ABS(_xlpm.t_stat),_xlpm.df),
_xlpm.B_cap
)</f>
        <v>43.194527151166881</v>
      </c>
      <c r="AV16" s="14"/>
    </row>
    <row r="17" spans="1:48" ht="19.899999999999999" customHeight="1" x14ac:dyDescent="0.45">
      <c r="A17">
        <v>74201005</v>
      </c>
      <c r="B17" t="s">
        <v>30</v>
      </c>
      <c r="D17">
        <v>1</v>
      </c>
      <c r="E17" s="10">
        <v>0.73532446174858423</v>
      </c>
      <c r="F17" s="10">
        <v>4.4254408208322375E-2</v>
      </c>
      <c r="G17" s="10">
        <v>0.5415449669199055</v>
      </c>
      <c r="H17" s="10">
        <v>2.2043435996017811E-3</v>
      </c>
      <c r="I17" s="10">
        <v>1.0299370410892527E-3</v>
      </c>
      <c r="J17" s="10">
        <v>8.2379011322919211E-3</v>
      </c>
      <c r="K17" s="10">
        <v>6.1521691201453114E-2</v>
      </c>
      <c r="L17" s="10">
        <v>0.6818888131257268</v>
      </c>
      <c r="M17" s="10">
        <v>0.85103074251930866</v>
      </c>
      <c r="N17" s="10">
        <v>0.75049066609963921</v>
      </c>
      <c r="O17" s="10">
        <v>0.85185950823790257</v>
      </c>
      <c r="P17" s="10">
        <v>0.78381743249564428</v>
      </c>
      <c r="Q17" s="10">
        <v>18.2904125214</v>
      </c>
      <c r="R17" s="10">
        <v>34.5687561035</v>
      </c>
      <c r="S17" s="10">
        <v>27.307138442999999</v>
      </c>
      <c r="T17" s="10">
        <v>39.820213317899999</v>
      </c>
      <c r="U17" s="10">
        <v>42.812347412100003</v>
      </c>
      <c r="V17" s="10">
        <v>28.335317611699999</v>
      </c>
      <c r="W17" s="10">
        <v>27.826857870000001</v>
      </c>
      <c r="X17" s="10">
        <v>-26.731725099999998</v>
      </c>
      <c r="AB17" s="2"/>
      <c r="AC17" s="5"/>
      <c r="AD17" s="5"/>
      <c r="AE17" s="5"/>
      <c r="AF17" s="5"/>
      <c r="AG17" s="5"/>
      <c r="AH17" s="5"/>
      <c r="AI17" s="5"/>
      <c r="AJ17" s="5"/>
      <c r="AO17" s="14" t="s">
        <v>3</v>
      </c>
      <c r="AP17" s="14">
        <v>-3.7483498402964273</v>
      </c>
      <c r="AQ17" s="14">
        <v>-8.3174671979002426</v>
      </c>
      <c r="AR17" s="14">
        <v>-5.0538389877128225</v>
      </c>
      <c r="AS17" s="14">
        <v>-10.521610477350464</v>
      </c>
      <c r="AT17" s="14">
        <v>-7.6293294625806425</v>
      </c>
      <c r="AU17" s="14">
        <v>-6.6741289787252036</v>
      </c>
      <c r="AV17" s="14"/>
    </row>
    <row r="18" spans="1:48" ht="19.899999999999999" customHeight="1" x14ac:dyDescent="0.45">
      <c r="A18">
        <v>74201006</v>
      </c>
      <c r="B18" t="s">
        <v>30</v>
      </c>
      <c r="D18">
        <v>1</v>
      </c>
      <c r="E18" s="10">
        <v>0.77348287976997598</v>
      </c>
      <c r="F18" s="10">
        <v>1.6501939101230611E-2</v>
      </c>
      <c r="G18" s="10">
        <v>0.57190955847039793</v>
      </c>
      <c r="H18" s="10">
        <v>9.2938009942840419E-3</v>
      </c>
      <c r="I18" s="10">
        <v>0.16029041190103352</v>
      </c>
      <c r="J18" s="10">
        <v>6.4258161568005179E-2</v>
      </c>
      <c r="K18" s="10">
        <v>6.219716789865002E-2</v>
      </c>
      <c r="L18" s="10">
        <v>0.40621280571218321</v>
      </c>
      <c r="M18" s="10">
        <v>0.52289354427050039</v>
      </c>
      <c r="N18" s="10">
        <v>0.33299724323368218</v>
      </c>
      <c r="O18" s="10">
        <v>0.58298127979086189</v>
      </c>
      <c r="P18" s="10">
        <v>0.46127121825180695</v>
      </c>
      <c r="Q18" s="10">
        <v>20.083545684800001</v>
      </c>
      <c r="R18" s="10">
        <v>30.272864151</v>
      </c>
      <c r="S18" s="10">
        <v>24.359644826299998</v>
      </c>
      <c r="T18" s="10">
        <v>34.967992909700001</v>
      </c>
      <c r="U18" s="10">
        <v>37.006133016</v>
      </c>
      <c r="V18" s="10">
        <v>24.757688267999999</v>
      </c>
      <c r="W18" s="10">
        <v>27.788133469999998</v>
      </c>
      <c r="X18" s="10">
        <v>-26.685123319999999</v>
      </c>
      <c r="Z18" t="str" cm="1">
        <f t="array" ref="Z18:Z23">TRANSPOSE(_xlfn.UNIQUE($Q$1:$V$1))</f>
        <v>PM_2km</v>
      </c>
      <c r="AB18" s="2" t="s">
        <v>23</v>
      </c>
      <c r="AC18" s="6" cm="1">
        <f t="array" ref="AC18:AJ18">_xlfn.LET(
_xlpm.x, INDEX($AP$5:$AU$12, , MATCH($Z18, $AP$3:$AU$3, 0)),
TRANSPOSE(_xlpm.x)
)</f>
        <v>2.736607639857136E-2</v>
      </c>
      <c r="AD18" s="6">
        <v>7.29516776706325E-28</v>
      </c>
      <c r="AE18" s="6">
        <v>1.3288880374667587E-7</v>
      </c>
      <c r="AF18" s="6">
        <v>9.35779349358285E-2</v>
      </c>
      <c r="AG18" s="6">
        <v>0.37314088941395152</v>
      </c>
      <c r="AH18" s="6">
        <v>3.2657678103991318E-2</v>
      </c>
      <c r="AI18" s="6">
        <v>0.77011421000340918</v>
      </c>
      <c r="AJ18" s="6">
        <v>8.1719165506912474E-8</v>
      </c>
      <c r="AO18" s="14" t="s">
        <v>4</v>
      </c>
      <c r="AP18" s="14">
        <v>32.84333102493229</v>
      </c>
      <c r="AQ18" s="14">
        <v>29.187391834211994</v>
      </c>
      <c r="AR18" s="14">
        <v>16.48397423270373</v>
      </c>
      <c r="AS18" s="14">
        <v>30.91936123956296</v>
      </c>
      <c r="AT18" s="14">
        <v>46.730007314522965</v>
      </c>
      <c r="AU18" s="14">
        <v>20.907199996542829</v>
      </c>
      <c r="AV18" s="14"/>
    </row>
    <row r="19" spans="1:48" ht="19.899999999999999" customHeight="1" x14ac:dyDescent="0.45">
      <c r="A19">
        <v>74201008</v>
      </c>
      <c r="B19" t="s">
        <v>30</v>
      </c>
      <c r="D19">
        <v>1</v>
      </c>
      <c r="E19" s="10">
        <v>0.13266196757925158</v>
      </c>
      <c r="F19" s="10">
        <v>3.2372947778301679E-2</v>
      </c>
      <c r="G19" s="10">
        <v>0.5921483799399756</v>
      </c>
      <c r="H19" s="10">
        <v>0.48742109056857708</v>
      </c>
      <c r="I19" s="10">
        <v>8.1586534306862968E-2</v>
      </c>
      <c r="J19" s="10">
        <v>1.1204250329068727E-3</v>
      </c>
      <c r="K19" s="10">
        <v>0.11328488069295123</v>
      </c>
      <c r="L19" s="10">
        <v>0.34010504370152139</v>
      </c>
      <c r="M19" s="10">
        <v>0.53537738861674833</v>
      </c>
      <c r="N19" s="10">
        <v>0.28110020465395813</v>
      </c>
      <c r="O19" s="10">
        <v>0.57160897309066827</v>
      </c>
      <c r="P19" s="10">
        <v>0.432047902515724</v>
      </c>
      <c r="Q19" s="10">
        <v>20.926426251700001</v>
      </c>
      <c r="R19" s="10">
        <v>39.996421814000001</v>
      </c>
      <c r="S19" s="10">
        <v>31.426139831499999</v>
      </c>
      <c r="T19" s="10">
        <v>47.806465148900003</v>
      </c>
      <c r="U19" s="10">
        <v>50.042827606199999</v>
      </c>
      <c r="V19" s="10">
        <v>30.710254669200001</v>
      </c>
      <c r="W19" s="10">
        <v>27.82569179</v>
      </c>
      <c r="X19" s="10">
        <v>-26.653422899999999</v>
      </c>
      <c r="Z19" t="str">
        <v>PM_6km</v>
      </c>
      <c r="AB19" s="2" t="s">
        <v>24</v>
      </c>
      <c r="AC19" s="6" cm="1">
        <f t="array" ref="AC19:AJ19">_xlfn.LET(
_xlpm.x, INDEX($AP$5:$AU$12, , MATCH($Z19, $AP$3:$AU$3, 0)),
TRANSPOSE(_xlpm.x)
)</f>
        <v>2.5015949115519743E-3</v>
      </c>
      <c r="AD19" s="6">
        <v>1.55235074644496E-10</v>
      </c>
      <c r="AE19" s="6">
        <v>0.19980449510684431</v>
      </c>
      <c r="AF19" s="6">
        <v>0.85814644895033654</v>
      </c>
      <c r="AG19" s="6">
        <v>0.50226455672361037</v>
      </c>
      <c r="AH19" s="6">
        <v>0.24588478022894411</v>
      </c>
      <c r="AI19" s="6">
        <v>3.9626425285006803E-2</v>
      </c>
      <c r="AJ19" s="6">
        <v>1.6474757276685258E-2</v>
      </c>
      <c r="AK19" s="7"/>
      <c r="AL19" s="7"/>
      <c r="AO19" s="14" t="s">
        <v>5</v>
      </c>
      <c r="AP19" s="14">
        <v>10.585657396865905</v>
      </c>
      <c r="AQ19" s="14">
        <v>4.0730799074249902</v>
      </c>
      <c r="AR19" s="14">
        <v>15.271242574957085</v>
      </c>
      <c r="AS19" s="14">
        <v>2.1912241325050061</v>
      </c>
      <c r="AT19" s="14">
        <v>-12.803180411136509</v>
      </c>
      <c r="AU19" s="14">
        <v>11.196063006725131</v>
      </c>
      <c r="AV19" s="14"/>
    </row>
    <row r="20" spans="1:48" ht="19.899999999999999" customHeight="1" x14ac:dyDescent="0.45">
      <c r="A20">
        <v>74201009</v>
      </c>
      <c r="B20" t="s">
        <v>30</v>
      </c>
      <c r="D20">
        <v>1</v>
      </c>
      <c r="E20" s="10">
        <v>0.71070397304006239</v>
      </c>
      <c r="F20" s="10">
        <v>1.2518417577914149E-2</v>
      </c>
      <c r="G20" s="10">
        <v>0.56437221455311504</v>
      </c>
      <c r="H20" s="10">
        <v>0.17941086668885181</v>
      </c>
      <c r="I20" s="10">
        <v>4.6226558930156092E-3</v>
      </c>
      <c r="J20" s="10">
        <v>1.6917081772424555E-2</v>
      </c>
      <c r="K20" s="10">
        <v>5.2994400818962707E-2</v>
      </c>
      <c r="L20" s="10">
        <v>0.53114279898143135</v>
      </c>
      <c r="M20" s="10">
        <v>0.65369170696577228</v>
      </c>
      <c r="N20" s="10">
        <v>0.55123720326421954</v>
      </c>
      <c r="O20" s="10">
        <v>0.6741398813014603</v>
      </c>
      <c r="P20" s="10">
        <v>0.60255289762822084</v>
      </c>
      <c r="Q20" s="10">
        <v>19.515658378600001</v>
      </c>
      <c r="R20" s="10">
        <v>34.713596238000001</v>
      </c>
      <c r="S20" s="10">
        <v>27.481160693700001</v>
      </c>
      <c r="T20" s="10">
        <v>39.879002465100001</v>
      </c>
      <c r="U20" s="10">
        <v>42.974516020899998</v>
      </c>
      <c r="V20" s="10">
        <v>28.519696553500001</v>
      </c>
      <c r="W20" s="10">
        <v>27.84924998</v>
      </c>
      <c r="X20" s="10">
        <v>-26.705413149999998</v>
      </c>
      <c r="Z20" t="str">
        <v>summer</v>
      </c>
      <c r="AB20" s="2" t="s">
        <v>25</v>
      </c>
      <c r="AC20" s="6" cm="1">
        <f t="array" ref="AC20:AJ20">_xlfn.LET(
_xlpm.x, INDEX($AP$5:$AU$12, , MATCH($Z20, $AP$3:$AU$3, 0)),
TRANSPOSE(_xlpm.x)
)</f>
        <v>2.2364108721005034E-2</v>
      </c>
      <c r="AD20" s="6">
        <v>2.1571299436977798E-6</v>
      </c>
      <c r="AE20" s="6">
        <v>1.1485737107374177E-9</v>
      </c>
      <c r="AF20" s="6">
        <v>0.26430128355167387</v>
      </c>
      <c r="AG20" s="6">
        <v>0.23365875621881474</v>
      </c>
      <c r="AH20" s="6">
        <v>0.90832131098427049</v>
      </c>
      <c r="AI20" s="6">
        <v>9.4672107762701338E-2</v>
      </c>
      <c r="AJ20" s="6">
        <v>0.93742775693435387</v>
      </c>
      <c r="AO20" s="14" t="s">
        <v>6</v>
      </c>
      <c r="AP20" s="14">
        <v>-4.2403068710390812</v>
      </c>
      <c r="AQ20" s="14">
        <v>-0.72810300890159851</v>
      </c>
      <c r="AR20" s="14">
        <v>3.4636919933876698</v>
      </c>
      <c r="AS20" s="14">
        <v>-0.32705801271504242</v>
      </c>
      <c r="AT20" s="14">
        <v>-3.2492219981789958</v>
      </c>
      <c r="AU20" s="14">
        <v>-0.69941373180620303</v>
      </c>
      <c r="AV20" s="14"/>
    </row>
    <row r="21" spans="1:48" ht="19.899999999999999" customHeight="1" x14ac:dyDescent="0.45">
      <c r="A21">
        <v>74201010</v>
      </c>
      <c r="B21" t="s">
        <v>30</v>
      </c>
      <c r="D21">
        <v>1</v>
      </c>
      <c r="E21" s="10">
        <v>0.75052678858274635</v>
      </c>
      <c r="F21" s="10">
        <v>9.965054135734331E-3</v>
      </c>
      <c r="G21" s="10">
        <v>0.59309591696692865</v>
      </c>
      <c r="H21" s="10">
        <v>1.2037064867873487E-2</v>
      </c>
      <c r="I21" s="10">
        <v>1.3461870388181284E-3</v>
      </c>
      <c r="J21" s="10">
        <v>3.2485342027211379E-2</v>
      </c>
      <c r="K21" s="10">
        <v>6.032638901273972E-2</v>
      </c>
      <c r="L21" s="10">
        <v>0.49726549111567764</v>
      </c>
      <c r="M21" s="10">
        <v>0.70214581676141852</v>
      </c>
      <c r="N21" s="10">
        <v>0.59717666120337665</v>
      </c>
      <c r="O21" s="10">
        <v>0.67941899831190355</v>
      </c>
      <c r="P21" s="10">
        <v>0.61900174184809409</v>
      </c>
      <c r="Q21" s="10">
        <v>19.112659454300001</v>
      </c>
      <c r="R21" s="10">
        <v>34.5687561035</v>
      </c>
      <c r="S21" s="10">
        <v>27.307138442999999</v>
      </c>
      <c r="T21" s="10">
        <v>39.820213317899999</v>
      </c>
      <c r="U21" s="10">
        <v>42.812347412100003</v>
      </c>
      <c r="V21" s="10">
        <v>28.335317611699999</v>
      </c>
      <c r="W21" s="10">
        <v>27.822305960000001</v>
      </c>
      <c r="X21" s="10">
        <v>-26.69526394</v>
      </c>
      <c r="Z21" t="str">
        <v>autumn</v>
      </c>
      <c r="AB21" s="2" t="s">
        <v>26</v>
      </c>
      <c r="AC21" s="6" cm="1">
        <f t="array" ref="AC21:AJ21">_xlfn.LET(
_xlpm.x, INDEX($AP$5:$AU$12, , MATCH($Z21, $AP$3:$AU$3, 0)),
TRANSPOSE(_xlpm.x)
)</f>
        <v>2.5643250609817857E-3</v>
      </c>
      <c r="AD21" s="6">
        <v>2.0061463410195873E-8</v>
      </c>
      <c r="AE21" s="6">
        <v>0.56989065600148048</v>
      </c>
      <c r="AF21" s="6">
        <v>0.9478657478134489</v>
      </c>
      <c r="AG21" s="6">
        <v>0.72806933748074232</v>
      </c>
      <c r="AH21" s="6">
        <v>0.47508818285637067</v>
      </c>
      <c r="AI21" s="6">
        <v>0.1413674753480797</v>
      </c>
      <c r="AJ21" s="6">
        <v>0.10875630994835087</v>
      </c>
      <c r="AO21" s="14" t="s">
        <v>7</v>
      </c>
      <c r="AP21" s="14">
        <v>1.7112160862270684</v>
      </c>
      <c r="AQ21" s="14">
        <v>-2.0804424509615842</v>
      </c>
      <c r="AR21" s="14">
        <v>2.7686357590081911</v>
      </c>
      <c r="AS21" s="14">
        <v>-1.2892748971052015</v>
      </c>
      <c r="AT21" s="14">
        <v>-7.1142600831925051</v>
      </c>
      <c r="AU21" s="14">
        <v>-2.5913068472186751</v>
      </c>
      <c r="AV21" s="14"/>
    </row>
    <row r="22" spans="1:48" ht="19.899999999999999" customHeight="1" x14ac:dyDescent="0.45">
      <c r="A22">
        <v>74201011</v>
      </c>
      <c r="B22" t="s">
        <v>30</v>
      </c>
      <c r="D22">
        <v>1</v>
      </c>
      <c r="E22" s="10">
        <v>0.19802422278981563</v>
      </c>
      <c r="F22" s="10">
        <v>0.16293298766265193</v>
      </c>
      <c r="G22" s="10">
        <v>0.54779586019908022</v>
      </c>
      <c r="H22" s="10">
        <v>7.2534288803865268E-2</v>
      </c>
      <c r="I22" s="10">
        <v>9.1606656141140233E-2</v>
      </c>
      <c r="J22" s="10">
        <v>4.5648842625947367E-3</v>
      </c>
      <c r="K22" s="10">
        <v>4.9285783753378318E-2</v>
      </c>
      <c r="L22" s="10">
        <v>0.43085018121546836</v>
      </c>
      <c r="M22" s="10">
        <v>0.72642050870588726</v>
      </c>
      <c r="N22" s="10">
        <v>0.43974589343406195</v>
      </c>
      <c r="O22" s="10">
        <v>0.76721521655331837</v>
      </c>
      <c r="P22" s="10">
        <v>0.59105794997718397</v>
      </c>
      <c r="Q22" s="10">
        <v>26.9912771497</v>
      </c>
      <c r="R22" s="10">
        <v>42.2373699977</v>
      </c>
      <c r="S22" s="10">
        <v>33.529863834399997</v>
      </c>
      <c r="T22" s="10">
        <v>48.8921900124</v>
      </c>
      <c r="U22" s="10">
        <v>52.784244504500002</v>
      </c>
      <c r="V22" s="10">
        <v>33.743178811600004</v>
      </c>
      <c r="W22" s="10">
        <v>27.882183210000001</v>
      </c>
      <c r="X22" s="10">
        <v>-26.64960404</v>
      </c>
      <c r="Z22" t="str">
        <v>winter</v>
      </c>
      <c r="AB22" s="2" t="s">
        <v>27</v>
      </c>
      <c r="AC22" s="6" cm="1">
        <f t="array" ref="AC22:AJ22">_xlfn.LET(
_xlpm.x, INDEX($AP$5:$AU$12, , MATCH($Z22, $AP$3:$AU$3, 0)),
TRANSPOSE(_xlpm.x)
)</f>
        <v>3.4909859672074176E-2</v>
      </c>
      <c r="AD22" s="6">
        <v>3.0452341695829536E-14</v>
      </c>
      <c r="AE22" s="6">
        <v>2.7881329619121073E-3</v>
      </c>
      <c r="AF22" s="6">
        <v>0.54361578408146549</v>
      </c>
      <c r="AG22" s="6">
        <v>9.0859436011772599E-2</v>
      </c>
      <c r="AH22" s="6">
        <v>0.11833116502987241</v>
      </c>
      <c r="AI22" s="6">
        <v>2.2827763140412228E-2</v>
      </c>
      <c r="AJ22" s="6">
        <v>3.8666379726763617E-4</v>
      </c>
      <c r="AO22" s="14" t="s">
        <v>8</v>
      </c>
      <c r="AP22" s="14">
        <v>-11.069962739062248</v>
      </c>
      <c r="AQ22" s="14">
        <v>-9.6834937603680373</v>
      </c>
      <c r="AR22" s="14">
        <v>-0.70519617679178737</v>
      </c>
      <c r="AS22" s="14">
        <v>-7.3644777708127549</v>
      </c>
      <c r="AT22" s="14">
        <v>-16.984574543155532</v>
      </c>
      <c r="AU22" s="14">
        <v>-7.7291089258328611</v>
      </c>
      <c r="AV22" s="14"/>
    </row>
    <row r="23" spans="1:48" ht="19.899999999999999" customHeight="1" x14ac:dyDescent="0.45">
      <c r="A23">
        <v>74201012</v>
      </c>
      <c r="B23" t="s">
        <v>30</v>
      </c>
      <c r="D23">
        <v>1</v>
      </c>
      <c r="E23" s="10">
        <v>0.14255999421116058</v>
      </c>
      <c r="F23" s="10">
        <v>4.3868501048560785E-2</v>
      </c>
      <c r="G23" s="10">
        <v>0.51214557113280046</v>
      </c>
      <c r="H23" s="10">
        <v>4.3832727789783782E-2</v>
      </c>
      <c r="I23" s="10">
        <v>0.26495708206359869</v>
      </c>
      <c r="J23" s="10">
        <v>1.2106914657469471E-2</v>
      </c>
      <c r="K23" s="10">
        <v>4.7053910680117599E-2</v>
      </c>
      <c r="L23" s="10">
        <v>0.36608374743006811</v>
      </c>
      <c r="M23" s="10">
        <v>0.53942635940987638</v>
      </c>
      <c r="N23" s="10">
        <v>0.3501300532927068</v>
      </c>
      <c r="O23" s="10">
        <v>0.731297225314535</v>
      </c>
      <c r="P23" s="10">
        <v>0.49673434636179659</v>
      </c>
      <c r="Q23" s="10">
        <v>25.219244003299998</v>
      </c>
      <c r="R23" s="10">
        <v>41.616573333700003</v>
      </c>
      <c r="S23" s="10">
        <v>33.423179626500001</v>
      </c>
      <c r="T23" s="10">
        <v>46.039066314700001</v>
      </c>
      <c r="U23" s="10">
        <v>51.7752723694</v>
      </c>
      <c r="V23" s="10">
        <v>35.2287712097</v>
      </c>
      <c r="W23" s="10">
        <v>27.88998131</v>
      </c>
      <c r="X23" s="10">
        <v>-26.684559419999999</v>
      </c>
      <c r="Z23" t="str">
        <v>spring</v>
      </c>
      <c r="AB23" s="2" t="s">
        <v>28</v>
      </c>
      <c r="AC23" s="6" cm="1">
        <f t="array" ref="AC23:AJ23">_xlfn.LET(
_xlpm.x, INDEX($AP$5:$AU$12, , MATCH($Z23, $AP$3:$AU$3, 0)),
TRANSPOSE(_xlpm.x)
)</f>
        <v>3.282792626558157E-3</v>
      </c>
      <c r="AD23" s="6">
        <v>3.225524449157631E-8</v>
      </c>
      <c r="AE23" s="6">
        <v>3.132220493301964E-5</v>
      </c>
      <c r="AF23" s="6">
        <v>0.83617338010501407</v>
      </c>
      <c r="AG23" s="6">
        <v>0.32608079307775206</v>
      </c>
      <c r="AH23" s="6">
        <v>0.25714738630826672</v>
      </c>
      <c r="AI23" s="6">
        <v>2.0733338028921178E-2</v>
      </c>
      <c r="AJ23" s="6">
        <v>1.5958693219958988E-2</v>
      </c>
      <c r="AO23" s="14" t="s">
        <v>39</v>
      </c>
      <c r="AP23" s="14">
        <v>0.98070935490767397</v>
      </c>
      <c r="AQ23" s="14">
        <v>-11.181297422675925</v>
      </c>
      <c r="AR23" s="14">
        <v>-6.8695471431579449</v>
      </c>
      <c r="AS23" s="14">
        <v>-9.705744107371288</v>
      </c>
      <c r="AT23" s="14">
        <v>-16.489290158432254</v>
      </c>
      <c r="AU23" s="14">
        <v>-10.580286278500694</v>
      </c>
      <c r="AV23" s="14"/>
    </row>
    <row r="24" spans="1:48" ht="19.899999999999999" customHeight="1" x14ac:dyDescent="0.45">
      <c r="A24">
        <v>74201013</v>
      </c>
      <c r="B24" t="s">
        <v>30</v>
      </c>
      <c r="D24">
        <v>1</v>
      </c>
      <c r="E24" s="10">
        <v>0.93071370360018246</v>
      </c>
      <c r="F24" s="10">
        <v>3.975499242932979E-2</v>
      </c>
      <c r="G24" s="10">
        <v>0.53959931858069798</v>
      </c>
      <c r="H24" s="10">
        <v>0</v>
      </c>
      <c r="I24" s="10">
        <v>0.26764570914357416</v>
      </c>
      <c r="J24" s="10">
        <v>7.6636319477635037E-2</v>
      </c>
      <c r="K24" s="10">
        <v>0.11754179365397276</v>
      </c>
      <c r="L24" s="10">
        <v>0.36234812906612962</v>
      </c>
      <c r="M24" s="10">
        <v>0.30799913169297638</v>
      </c>
      <c r="N24" s="10">
        <v>0.35384700054970508</v>
      </c>
      <c r="O24" s="10">
        <v>0.45551067308516385</v>
      </c>
      <c r="P24" s="10">
        <v>0.36992623359849375</v>
      </c>
      <c r="Q24" s="10">
        <v>23.9455714226</v>
      </c>
      <c r="R24" s="10">
        <v>37.957461834</v>
      </c>
      <c r="S24" s="10">
        <v>30.2017138004</v>
      </c>
      <c r="T24" s="10">
        <v>43.054556369799997</v>
      </c>
      <c r="U24" s="10">
        <v>47.146012783099998</v>
      </c>
      <c r="V24" s="10">
        <v>31.427553892100001</v>
      </c>
      <c r="W24" s="10">
        <v>27.875035530000002</v>
      </c>
      <c r="X24" s="10">
        <v>-26.684321570000002</v>
      </c>
      <c r="AO24" s="14" t="s">
        <v>37</v>
      </c>
      <c r="AP24" s="14">
        <v>-14.984154573491878</v>
      </c>
      <c r="AQ24" s="14">
        <v>-10.631509582803119</v>
      </c>
      <c r="AR24" s="14">
        <v>-0.24218963824705497</v>
      </c>
      <c r="AS24" s="14">
        <v>-8.502923214863813</v>
      </c>
      <c r="AT24" s="14">
        <v>-20.059224849618204</v>
      </c>
      <c r="AU24" s="14">
        <v>-8.2801455968378832</v>
      </c>
      <c r="AV24" s="14"/>
    </row>
    <row r="25" spans="1:48" ht="87" customHeight="1" x14ac:dyDescent="0.45">
      <c r="A25">
        <v>74201014</v>
      </c>
      <c r="B25" t="s">
        <v>30</v>
      </c>
      <c r="D25">
        <v>1</v>
      </c>
      <c r="E25" s="10">
        <v>0.31238818526902412</v>
      </c>
      <c r="F25" s="10">
        <v>0.11044986542282506</v>
      </c>
      <c r="G25" s="10">
        <v>0.55110900879825286</v>
      </c>
      <c r="H25" s="10">
        <v>6.2499341622394167E-3</v>
      </c>
      <c r="I25" s="10">
        <v>0.17853076165908144</v>
      </c>
      <c r="J25" s="10">
        <v>3.7357826440104658E-2</v>
      </c>
      <c r="K25" s="10">
        <v>5.5991970306844073E-2</v>
      </c>
      <c r="L25" s="10">
        <v>0.44209579463684845</v>
      </c>
      <c r="M25" s="10">
        <v>0.60066508581091249</v>
      </c>
      <c r="N25" s="10">
        <v>0.46550980738351438</v>
      </c>
      <c r="O25" s="10">
        <v>0.69434423563875014</v>
      </c>
      <c r="P25" s="10">
        <v>0.55065373086750635</v>
      </c>
      <c r="Q25" s="10">
        <v>21.464065551800001</v>
      </c>
      <c r="R25" s="10">
        <v>36.6098079681</v>
      </c>
      <c r="S25" s="10">
        <v>29.078347206099998</v>
      </c>
      <c r="T25" s="10">
        <v>41.621196111000003</v>
      </c>
      <c r="U25" s="10">
        <v>45.408015886900003</v>
      </c>
      <c r="V25" s="10">
        <v>30.331665198</v>
      </c>
      <c r="W25" s="10">
        <v>27.868180150000001</v>
      </c>
      <c r="X25" s="10">
        <v>-26.696938100000001</v>
      </c>
      <c r="AC25" s="8" t="s">
        <v>31</v>
      </c>
      <c r="AD25" s="8" t="s">
        <v>32</v>
      </c>
      <c r="AE25" s="8" t="s">
        <v>5</v>
      </c>
      <c r="AF25" s="8" t="s">
        <v>33</v>
      </c>
      <c r="AG25" s="8" t="s">
        <v>34</v>
      </c>
      <c r="AH25" s="8" t="s">
        <v>35</v>
      </c>
      <c r="AI25" s="8" t="s">
        <v>36</v>
      </c>
      <c r="AJ25" s="8" t="s">
        <v>37</v>
      </c>
      <c r="AO25" s="7"/>
    </row>
    <row r="26" spans="1:48" x14ac:dyDescent="0.45">
      <c r="A26">
        <v>74201015</v>
      </c>
      <c r="B26" t="s">
        <v>30</v>
      </c>
      <c r="D26">
        <v>1</v>
      </c>
      <c r="E26" s="10">
        <v>0.34725175809057246</v>
      </c>
      <c r="F26" s="10">
        <v>2.7076541540602853E-2</v>
      </c>
      <c r="G26" s="10">
        <v>0.50482431211087031</v>
      </c>
      <c r="H26" s="10">
        <v>0.426719301540741</v>
      </c>
      <c r="I26" s="10">
        <v>2.7883077184792456E-3</v>
      </c>
      <c r="J26" s="10">
        <v>5.9740552388089559E-3</v>
      </c>
      <c r="K26" s="10">
        <v>2.9293361569393352E-2</v>
      </c>
      <c r="L26" s="10">
        <v>0.37545991819458002</v>
      </c>
      <c r="M26" s="10">
        <v>0.60530893413166675</v>
      </c>
      <c r="N26" s="10">
        <v>0.40875724281176878</v>
      </c>
      <c r="O26" s="10">
        <v>0.58649956262780822</v>
      </c>
      <c r="P26" s="10">
        <v>0.49400641444145593</v>
      </c>
      <c r="Q26" s="10">
        <v>28.8229160309</v>
      </c>
      <c r="R26" s="10">
        <v>49.978452398400002</v>
      </c>
      <c r="S26" s="10">
        <v>40.258199529400002</v>
      </c>
      <c r="T26" s="10">
        <v>55.675252184000001</v>
      </c>
      <c r="U26" s="10">
        <v>62.236338716900001</v>
      </c>
      <c r="V26" s="10">
        <v>41.744017458999998</v>
      </c>
      <c r="W26" s="10">
        <v>27.927923409999998</v>
      </c>
      <c r="X26" s="10">
        <v>-26.67432316</v>
      </c>
    </row>
    <row r="27" spans="1:48" x14ac:dyDescent="0.45">
      <c r="A27">
        <v>74201017</v>
      </c>
      <c r="B27" t="s">
        <v>30</v>
      </c>
      <c r="D27">
        <v>1</v>
      </c>
      <c r="E27" s="10">
        <v>0.10074869268620691</v>
      </c>
      <c r="F27" s="10">
        <v>4.7208295229189075E-2</v>
      </c>
      <c r="G27" s="10">
        <v>0.58450644900273563</v>
      </c>
      <c r="H27" s="10">
        <v>4.6233093539192124E-2</v>
      </c>
      <c r="I27" s="10">
        <v>2.1404921163414473E-2</v>
      </c>
      <c r="J27" s="10">
        <v>3.7956987540631064E-3</v>
      </c>
      <c r="K27" s="10">
        <v>4.7003970035473921E-2</v>
      </c>
      <c r="L27" s="10">
        <v>0.51103987347744961</v>
      </c>
      <c r="M27" s="10">
        <v>0.7535425983299846</v>
      </c>
      <c r="N27" s="10">
        <v>0.47610757965596995</v>
      </c>
      <c r="O27" s="10">
        <v>0.75365968693190954</v>
      </c>
      <c r="P27" s="10">
        <v>0.62358743459882848</v>
      </c>
      <c r="Q27" s="10">
        <v>23.1904163361</v>
      </c>
      <c r="R27" s="10">
        <v>39.591665414700003</v>
      </c>
      <c r="S27" s="10">
        <v>32.241299027700002</v>
      </c>
      <c r="T27" s="10">
        <v>46.267813403799998</v>
      </c>
      <c r="U27" s="10">
        <v>49.021780160799999</v>
      </c>
      <c r="V27" s="10">
        <v>30.835767833999999</v>
      </c>
      <c r="W27" s="10">
        <v>27.821213090000001</v>
      </c>
      <c r="X27" s="10">
        <v>-26.609981820000002</v>
      </c>
    </row>
    <row r="28" spans="1:48" x14ac:dyDescent="0.45">
      <c r="A28">
        <v>74201018</v>
      </c>
      <c r="B28" t="s">
        <v>30</v>
      </c>
      <c r="D28">
        <v>1</v>
      </c>
      <c r="E28" s="10">
        <v>0.78823277948563242</v>
      </c>
      <c r="F28" s="10">
        <v>8.7226058821172889E-2</v>
      </c>
      <c r="G28" s="10">
        <v>0.59015603595257504</v>
      </c>
      <c r="H28" s="10">
        <v>4.281232243085002E-3</v>
      </c>
      <c r="I28" s="10">
        <v>0.33178619075929799</v>
      </c>
      <c r="J28" s="10">
        <v>4.9546196612988536E-2</v>
      </c>
      <c r="K28" s="10">
        <v>4.1858431036283429E-2</v>
      </c>
      <c r="L28" s="10">
        <v>0.53226075556151164</v>
      </c>
      <c r="M28" s="10">
        <v>0.82560117105431441</v>
      </c>
      <c r="N28" s="10">
        <v>0.58944454829024373</v>
      </c>
      <c r="O28" s="10">
        <v>0.81322400213569013</v>
      </c>
      <c r="P28" s="10">
        <v>0.69013261926044001</v>
      </c>
      <c r="Q28" s="10">
        <v>24.678995132400001</v>
      </c>
      <c r="R28" s="10">
        <v>45.249746195500002</v>
      </c>
      <c r="S28" s="10">
        <v>38.838325754800003</v>
      </c>
      <c r="T28" s="10">
        <v>50.453955586799999</v>
      </c>
      <c r="U28" s="10">
        <v>55.795548502599999</v>
      </c>
      <c r="V28" s="10">
        <v>35.911155954999998</v>
      </c>
      <c r="W28" s="10">
        <v>27.837527300000001</v>
      </c>
      <c r="X28" s="10">
        <v>-26.55022349</v>
      </c>
    </row>
    <row r="29" spans="1:48" x14ac:dyDescent="0.45">
      <c r="A29">
        <v>74201019</v>
      </c>
      <c r="B29" t="s">
        <v>30</v>
      </c>
      <c r="D29">
        <v>1</v>
      </c>
      <c r="E29" s="10">
        <v>0.83877569599593338</v>
      </c>
      <c r="F29" s="10">
        <v>2.2270916262508454E-2</v>
      </c>
      <c r="G29" s="10">
        <v>0.63183900030635731</v>
      </c>
      <c r="H29" s="10">
        <v>0</v>
      </c>
      <c r="I29" s="10">
        <v>0.31974649370806141</v>
      </c>
      <c r="J29" s="10">
        <v>4.4262103379187116E-2</v>
      </c>
      <c r="K29" s="10">
        <v>7.2443792471307042E-2</v>
      </c>
      <c r="L29" s="10">
        <v>0.52731757249833233</v>
      </c>
      <c r="M29" s="10">
        <v>0.68579651654361018</v>
      </c>
      <c r="N29" s="10">
        <v>0.53999573896542563</v>
      </c>
      <c r="O29" s="10">
        <v>0.75277665683194617</v>
      </c>
      <c r="P29" s="10">
        <v>0.62647162120982858</v>
      </c>
      <c r="Q29" s="10">
        <v>22.0913524628</v>
      </c>
      <c r="R29" s="10">
        <v>41.771114349400001</v>
      </c>
      <c r="S29" s="10">
        <v>35.483256413399999</v>
      </c>
      <c r="T29" s="10">
        <v>45.376458388099998</v>
      </c>
      <c r="U29" s="10">
        <v>52.858764061599999</v>
      </c>
      <c r="V29" s="10">
        <v>33.365983082699998</v>
      </c>
      <c r="W29" s="10">
        <v>27.855682560000002</v>
      </c>
      <c r="X29" s="10">
        <v>-26.516291039999999</v>
      </c>
      <c r="AC29" s="11" t="s">
        <v>3</v>
      </c>
      <c r="AD29" s="11" t="s">
        <v>4</v>
      </c>
      <c r="AE29" s="11" t="s">
        <v>5</v>
      </c>
      <c r="AF29" s="11" t="s">
        <v>6</v>
      </c>
      <c r="AG29" s="11" t="s">
        <v>7</v>
      </c>
      <c r="AH29" s="11" t="s">
        <v>8</v>
      </c>
      <c r="AI29" s="11" t="s">
        <v>39</v>
      </c>
      <c r="AJ29" s="11" t="s">
        <v>9</v>
      </c>
      <c r="AK29" s="11" t="s">
        <v>10</v>
      </c>
      <c r="AL29" s="11" t="s">
        <v>11</v>
      </c>
      <c r="AM29" s="11" t="s">
        <v>12</v>
      </c>
      <c r="AN29" s="11" t="s">
        <v>13</v>
      </c>
      <c r="AO29" s="11"/>
    </row>
    <row r="30" spans="1:48" x14ac:dyDescent="0.45">
      <c r="A30">
        <v>74201020</v>
      </c>
      <c r="B30" t="s">
        <v>30</v>
      </c>
      <c r="D30">
        <v>1</v>
      </c>
      <c r="E30" s="10">
        <v>0.74809385426613795</v>
      </c>
      <c r="F30" s="10">
        <v>4.6352706388726088E-3</v>
      </c>
      <c r="G30" s="10">
        <v>0.64252914262775795</v>
      </c>
      <c r="H30" s="10">
        <v>1.6508192610692677E-4</v>
      </c>
      <c r="I30" s="10">
        <v>7.9365359791432992E-3</v>
      </c>
      <c r="J30" s="10">
        <v>3.2098984501745274E-2</v>
      </c>
      <c r="K30" s="10">
        <v>4.0901171753206796E-2</v>
      </c>
      <c r="L30" s="10">
        <v>0.5424620168055172</v>
      </c>
      <c r="M30" s="10">
        <v>0.53707035962204364</v>
      </c>
      <c r="N30" s="10">
        <v>0.50840616923354442</v>
      </c>
      <c r="O30" s="10">
        <v>0.74251214708182334</v>
      </c>
      <c r="P30" s="10">
        <v>0.58261267318573218</v>
      </c>
      <c r="Q30" s="10">
        <v>19.886480331400001</v>
      </c>
      <c r="R30" s="10">
        <v>39.325061979700003</v>
      </c>
      <c r="S30" s="10">
        <v>33.947889782099999</v>
      </c>
      <c r="T30" s="10">
        <v>42.616081964400003</v>
      </c>
      <c r="U30" s="10">
        <v>49.4832100641</v>
      </c>
      <c r="V30" s="10">
        <v>31.253072102899999</v>
      </c>
      <c r="W30" s="10">
        <v>27.840131209999999</v>
      </c>
      <c r="X30" s="10">
        <v>-26.504426429999999</v>
      </c>
    </row>
    <row r="31" spans="1:48" x14ac:dyDescent="0.45">
      <c r="A31">
        <v>74201021</v>
      </c>
      <c r="B31" t="s">
        <v>30</v>
      </c>
      <c r="D31">
        <v>1</v>
      </c>
      <c r="E31" s="10">
        <v>0.32637085729064286</v>
      </c>
      <c r="F31" s="10">
        <v>8.3515604478743372E-2</v>
      </c>
      <c r="G31" s="10">
        <v>0.63051523920076125</v>
      </c>
      <c r="H31" s="10">
        <v>1.2179110290362132E-3</v>
      </c>
      <c r="I31" s="10">
        <v>0.26403214480724446</v>
      </c>
      <c r="J31" s="10">
        <v>4.3502343924526066E-3</v>
      </c>
      <c r="K31" s="10">
        <v>9.5783319309868234E-2</v>
      </c>
      <c r="L31" s="10">
        <v>0.54320989718531809</v>
      </c>
      <c r="M31" s="10">
        <v>0.70069565973827275</v>
      </c>
      <c r="N31" s="10">
        <v>0.42578600361712876</v>
      </c>
      <c r="O31" s="10">
        <v>0.79580991821444247</v>
      </c>
      <c r="P31" s="10">
        <v>0.61637536968879059</v>
      </c>
      <c r="Q31" s="10">
        <v>27.399226824399999</v>
      </c>
      <c r="R31" s="10">
        <v>61.645136211999997</v>
      </c>
      <c r="S31" s="10">
        <v>52.781295006400001</v>
      </c>
      <c r="T31" s="10">
        <v>66.179168841199996</v>
      </c>
      <c r="U31" s="10">
        <v>75.779346955999998</v>
      </c>
      <c r="V31" s="10">
        <v>51.8407288298</v>
      </c>
      <c r="W31" s="10">
        <v>27.916645899999999</v>
      </c>
      <c r="X31" s="10">
        <v>-26.54677109</v>
      </c>
    </row>
    <row r="32" spans="1:48" x14ac:dyDescent="0.45">
      <c r="A32">
        <v>74201022</v>
      </c>
      <c r="B32" t="s">
        <v>30</v>
      </c>
      <c r="D32">
        <v>1</v>
      </c>
      <c r="E32" s="10">
        <v>0.6395622483230633</v>
      </c>
      <c r="F32" s="10">
        <v>0.12950306312371265</v>
      </c>
      <c r="G32" s="10">
        <v>0.54543896670192282</v>
      </c>
      <c r="H32" s="10">
        <v>4.7444552163418717E-2</v>
      </c>
      <c r="I32" s="10">
        <v>0.21479048948799831</v>
      </c>
      <c r="J32" s="10">
        <v>6.5941262773252698E-2</v>
      </c>
      <c r="K32" s="10">
        <v>0.17443330389155892</v>
      </c>
      <c r="L32" s="10">
        <v>0.38712899764797165</v>
      </c>
      <c r="M32" s="10">
        <v>0.46831435764693924</v>
      </c>
      <c r="N32" s="10">
        <v>0.36933689635850964</v>
      </c>
      <c r="O32" s="10">
        <v>0.56896957957031036</v>
      </c>
      <c r="P32" s="10">
        <v>0.44843745780593269</v>
      </c>
      <c r="Q32" s="10">
        <v>23.047749837200001</v>
      </c>
      <c r="R32" s="10">
        <v>36.974677191799998</v>
      </c>
      <c r="S32" s="10">
        <v>29.318118413299999</v>
      </c>
      <c r="T32" s="10">
        <v>42.353229946600003</v>
      </c>
      <c r="U32" s="10">
        <v>45.913118574400002</v>
      </c>
      <c r="V32" s="10">
        <v>30.31423929</v>
      </c>
      <c r="W32" s="10">
        <v>27.865287970000001</v>
      </c>
      <c r="X32" s="10">
        <v>-26.677497129999999</v>
      </c>
    </row>
    <row r="33" spans="1:24" x14ac:dyDescent="0.45">
      <c r="A33">
        <v>74201023</v>
      </c>
      <c r="B33" t="s">
        <v>30</v>
      </c>
      <c r="D33">
        <v>1</v>
      </c>
      <c r="E33" s="10">
        <v>0.49064926517892699</v>
      </c>
      <c r="F33" s="10">
        <v>0.23142175183853003</v>
      </c>
      <c r="G33" s="10">
        <v>0.55923860701223338</v>
      </c>
      <c r="H33" s="10">
        <v>2.8193655039544539E-2</v>
      </c>
      <c r="I33" s="10">
        <v>0.30790773836830632</v>
      </c>
      <c r="J33" s="10">
        <v>2.1838433172467229E-2</v>
      </c>
      <c r="K33" s="10">
        <v>2.6995263556075799E-2</v>
      </c>
      <c r="L33" s="10">
        <v>0.46621562673598987</v>
      </c>
      <c r="M33" s="10">
        <v>0.80689195593166729</v>
      </c>
      <c r="N33" s="10">
        <v>0.49919243593298401</v>
      </c>
      <c r="O33" s="10">
        <v>0.79271189468747694</v>
      </c>
      <c r="P33" s="10">
        <v>0.64125297832202954</v>
      </c>
      <c r="Q33" s="10">
        <v>17.889776229900001</v>
      </c>
      <c r="R33" s="10">
        <v>31.323406882899999</v>
      </c>
      <c r="S33" s="10">
        <v>25.071932585300001</v>
      </c>
      <c r="T33" s="10">
        <v>36.126839845100001</v>
      </c>
      <c r="U33" s="10">
        <v>38.420290407899998</v>
      </c>
      <c r="V33" s="10">
        <v>25.674565190900001</v>
      </c>
      <c r="W33" s="10">
        <v>27.805586569999999</v>
      </c>
      <c r="X33" s="10">
        <v>-26.708193319999999</v>
      </c>
    </row>
    <row r="34" spans="1:24" x14ac:dyDescent="0.45">
      <c r="A34">
        <v>74201024</v>
      </c>
      <c r="B34" t="s">
        <v>30</v>
      </c>
      <c r="D34">
        <v>1</v>
      </c>
      <c r="E34" s="10">
        <v>0.88310522866569052</v>
      </c>
      <c r="F34" s="10">
        <v>1.4906248133698291E-2</v>
      </c>
      <c r="G34" s="10">
        <v>0.63543688529567521</v>
      </c>
      <c r="H34" s="10">
        <v>4.8196984009902426E-4</v>
      </c>
      <c r="I34" s="10">
        <v>4.3873658346824093E-2</v>
      </c>
      <c r="J34" s="10">
        <v>6.5862012618687946E-2</v>
      </c>
      <c r="K34" s="10">
        <v>2.5020262891908715E-2</v>
      </c>
      <c r="L34" s="10">
        <v>0.38325511736446111</v>
      </c>
      <c r="M34" s="10">
        <v>0.41778081035314191</v>
      </c>
      <c r="N34" s="10">
        <v>0.32379934179451592</v>
      </c>
      <c r="O34" s="10">
        <v>0.45439684529318086</v>
      </c>
      <c r="P34" s="10">
        <v>0.39480802870132492</v>
      </c>
      <c r="Q34" s="10">
        <v>19.521593093900002</v>
      </c>
      <c r="R34" s="10">
        <v>39.241011301699999</v>
      </c>
      <c r="S34" s="10">
        <v>34.079816818200001</v>
      </c>
      <c r="T34" s="10">
        <v>43.013279597</v>
      </c>
      <c r="U34" s="10">
        <v>49.014744440699999</v>
      </c>
      <c r="V34" s="10">
        <v>30.856211662300002</v>
      </c>
      <c r="W34" s="10">
        <v>27.82155672</v>
      </c>
      <c r="X34" s="10">
        <v>-26.518655639999999</v>
      </c>
    </row>
    <row r="35" spans="1:24" x14ac:dyDescent="0.45">
      <c r="A35">
        <v>74201026</v>
      </c>
      <c r="B35" t="s">
        <v>30</v>
      </c>
      <c r="D35">
        <v>1</v>
      </c>
      <c r="E35" s="10">
        <v>0.53364074702402553</v>
      </c>
      <c r="F35" s="10">
        <v>1.7388249863591509E-2</v>
      </c>
      <c r="G35" s="10">
        <v>0.64136030832571933</v>
      </c>
      <c r="H35" s="10">
        <v>5.6627534916090297E-4</v>
      </c>
      <c r="I35" s="10">
        <v>5.3439023264221938E-2</v>
      </c>
      <c r="J35" s="10">
        <v>4.2849814939914528E-2</v>
      </c>
      <c r="K35" s="10">
        <v>1.8587172711605083E-2</v>
      </c>
      <c r="L35" s="10">
        <v>0.44217146991330497</v>
      </c>
      <c r="M35" s="10">
        <v>0.43324963458331661</v>
      </c>
      <c r="N35" s="10">
        <v>0.36956165421814863</v>
      </c>
      <c r="O35" s="10">
        <v>0.58560945311655799</v>
      </c>
      <c r="P35" s="10">
        <v>0.45764805295783206</v>
      </c>
      <c r="Q35" s="10">
        <v>18.574529647799999</v>
      </c>
      <c r="R35" s="10">
        <v>39.9428024292</v>
      </c>
      <c r="S35" s="10">
        <v>34.057960510299999</v>
      </c>
      <c r="T35" s="10">
        <v>43.2769699097</v>
      </c>
      <c r="U35" s="10">
        <v>50.668106079099999</v>
      </c>
      <c r="V35" s="10">
        <v>31.7681808472</v>
      </c>
      <c r="W35" s="10">
        <v>27.818883209999999</v>
      </c>
      <c r="X35" s="10">
        <v>-26.507281370000001</v>
      </c>
    </row>
    <row r="36" spans="1:24" x14ac:dyDescent="0.45">
      <c r="A36">
        <v>74201028</v>
      </c>
      <c r="B36" t="s">
        <v>30</v>
      </c>
      <c r="D36">
        <v>1</v>
      </c>
      <c r="E36" s="10">
        <v>0.43651012798850392</v>
      </c>
      <c r="F36" s="10">
        <v>0.16686577074972023</v>
      </c>
      <c r="G36" s="10">
        <v>0.57678893334727832</v>
      </c>
      <c r="H36" s="10">
        <v>3.3465617168397859E-3</v>
      </c>
      <c r="I36" s="10">
        <v>8.4990608230628761E-2</v>
      </c>
      <c r="J36" s="10">
        <v>2.9014512721100436E-2</v>
      </c>
      <c r="K36" s="10">
        <v>2.3173732994075481E-2</v>
      </c>
      <c r="L36" s="10">
        <v>0.55757787520508217</v>
      </c>
      <c r="M36" s="10">
        <v>0.73450531398752272</v>
      </c>
      <c r="N36" s="10">
        <v>0.56054250178289877</v>
      </c>
      <c r="O36" s="10">
        <v>0.72980751137459865</v>
      </c>
      <c r="P36" s="10">
        <v>0.64560830058752561</v>
      </c>
      <c r="Q36" s="10">
        <v>21.960503578200001</v>
      </c>
      <c r="R36" s="10">
        <v>41.931534703600001</v>
      </c>
      <c r="S36" s="10">
        <v>36.253653589899997</v>
      </c>
      <c r="T36" s="10">
        <v>46.798481114700003</v>
      </c>
      <c r="U36" s="10">
        <v>51.629446665400003</v>
      </c>
      <c r="V36" s="10">
        <v>33.044561640399998</v>
      </c>
      <c r="W36" s="10">
        <v>27.818187080000001</v>
      </c>
      <c r="X36" s="10">
        <v>-26.546683359999999</v>
      </c>
    </row>
    <row r="37" spans="1:24" x14ac:dyDescent="0.45">
      <c r="A37">
        <v>74201029</v>
      </c>
      <c r="B37" t="s">
        <v>30</v>
      </c>
      <c r="D37">
        <v>1</v>
      </c>
      <c r="E37" s="10">
        <v>0.71269967338610196</v>
      </c>
      <c r="F37" s="10">
        <v>4.0488126639495789E-2</v>
      </c>
      <c r="G37" s="10">
        <v>0.5992422628920413</v>
      </c>
      <c r="H37" s="10">
        <v>2.8100194119362094E-4</v>
      </c>
      <c r="I37" s="10">
        <v>0.52168304080959815</v>
      </c>
      <c r="J37" s="10">
        <v>5.2337002036545274E-2</v>
      </c>
      <c r="K37" s="10">
        <v>0.1545316911619759</v>
      </c>
      <c r="L37" s="10">
        <v>0.58262312999067023</v>
      </c>
      <c r="M37" s="10">
        <v>0.88532062896171837</v>
      </c>
      <c r="N37" s="10">
        <v>0.67777053322676539</v>
      </c>
      <c r="O37" s="10">
        <v>0.88190522031185525</v>
      </c>
      <c r="P37" s="10">
        <v>0.7569048781227522</v>
      </c>
      <c r="Q37" s="10">
        <v>26.340486526500001</v>
      </c>
      <c r="R37" s="10">
        <v>47.2859247381</v>
      </c>
      <c r="S37" s="10">
        <v>40.486617001600003</v>
      </c>
      <c r="T37" s="10">
        <v>52.4334987294</v>
      </c>
      <c r="U37" s="10">
        <v>58.410956296099997</v>
      </c>
      <c r="V37" s="10">
        <v>37.812627618999997</v>
      </c>
      <c r="W37" s="10">
        <v>27.85305791</v>
      </c>
      <c r="X37" s="10">
        <v>-26.549507519999999</v>
      </c>
    </row>
    <row r="38" spans="1:24" x14ac:dyDescent="0.45">
      <c r="A38">
        <v>74201030</v>
      </c>
      <c r="B38" t="s">
        <v>30</v>
      </c>
      <c r="D38">
        <v>1</v>
      </c>
      <c r="E38" s="10">
        <v>0.41030859783054102</v>
      </c>
      <c r="F38" s="10">
        <v>0.10586639710623992</v>
      </c>
      <c r="G38" s="10">
        <v>0.57809978186214095</v>
      </c>
      <c r="H38" s="10">
        <v>1.2480394343254765E-3</v>
      </c>
      <c r="I38" s="10">
        <v>4.9502988804854473E-2</v>
      </c>
      <c r="J38" s="10">
        <v>4.3731871027010406E-2</v>
      </c>
      <c r="K38" s="10">
        <v>4.1501610543958935E-2</v>
      </c>
      <c r="L38" s="10">
        <v>0.49782247516356937</v>
      </c>
      <c r="M38" s="10">
        <v>0.74723974517283132</v>
      </c>
      <c r="N38" s="10">
        <v>0.53810404898938158</v>
      </c>
      <c r="O38" s="10">
        <v>0.70752970444682861</v>
      </c>
      <c r="P38" s="10">
        <v>0.62267399344315266</v>
      </c>
      <c r="Q38" s="10">
        <v>22.689282607999999</v>
      </c>
      <c r="R38" s="10">
        <v>41.984811782800001</v>
      </c>
      <c r="S38" s="10">
        <v>35.314797973600001</v>
      </c>
      <c r="T38" s="10">
        <v>48.0968933105</v>
      </c>
      <c r="U38" s="10">
        <v>51.5485038757</v>
      </c>
      <c r="V38" s="10">
        <v>32.979051017800003</v>
      </c>
      <c r="W38" s="10">
        <v>27.81768709</v>
      </c>
      <c r="X38" s="10">
        <v>-26.58683211</v>
      </c>
    </row>
    <row r="39" spans="1:24" x14ac:dyDescent="0.45">
      <c r="A39">
        <v>74201031</v>
      </c>
      <c r="B39" t="s">
        <v>30</v>
      </c>
      <c r="D39">
        <v>1</v>
      </c>
      <c r="E39" s="10">
        <v>0.80576486238237388</v>
      </c>
      <c r="F39" s="10">
        <v>3.5548220026004472E-3</v>
      </c>
      <c r="G39" s="10">
        <v>0.6361948592685297</v>
      </c>
      <c r="H39" s="10">
        <v>0</v>
      </c>
      <c r="I39" s="10">
        <v>1.0763785507137831E-2</v>
      </c>
      <c r="J39" s="10">
        <v>5.2748541112697875E-2</v>
      </c>
      <c r="K39" s="10">
        <v>0.15935707601696206</v>
      </c>
      <c r="L39" s="10">
        <v>0.4358817245730523</v>
      </c>
      <c r="M39" s="10">
        <v>0.36681015765904912</v>
      </c>
      <c r="N39" s="10">
        <v>0.39908334809568918</v>
      </c>
      <c r="O39" s="10">
        <v>0.51161742992396753</v>
      </c>
      <c r="P39" s="10">
        <v>0.42834816506293955</v>
      </c>
      <c r="Q39" s="10">
        <v>26.457790851599999</v>
      </c>
      <c r="R39" s="10">
        <v>46.474103450800001</v>
      </c>
      <c r="S39" s="10">
        <v>38.993314742999999</v>
      </c>
      <c r="T39" s="10">
        <v>53.073177337600001</v>
      </c>
      <c r="U39" s="10">
        <v>57.146485328700003</v>
      </c>
      <c r="V39" s="10">
        <v>36.683434009599999</v>
      </c>
      <c r="W39" s="10">
        <v>27.846428899999999</v>
      </c>
      <c r="X39" s="10">
        <v>-26.586478240000002</v>
      </c>
    </row>
    <row r="40" spans="1:24" x14ac:dyDescent="0.45">
      <c r="A40">
        <v>74201032</v>
      </c>
      <c r="B40" t="s">
        <v>30</v>
      </c>
      <c r="D40">
        <v>1</v>
      </c>
      <c r="E40" s="10">
        <v>0.91090639853993249</v>
      </c>
      <c r="F40" s="10">
        <v>6.5888823478603725E-2</v>
      </c>
      <c r="G40" s="10">
        <v>0.61426271290610868</v>
      </c>
      <c r="H40" s="10">
        <v>0</v>
      </c>
      <c r="I40" s="10">
        <v>0.21923556396974234</v>
      </c>
      <c r="J40" s="10">
        <v>8.0302050788777626E-2</v>
      </c>
      <c r="K40" s="10">
        <v>5.9795546929701127E-2</v>
      </c>
      <c r="L40" s="10">
        <v>0.40922239904199798</v>
      </c>
      <c r="M40" s="10">
        <v>0.45331164995117218</v>
      </c>
      <c r="N40" s="10">
        <v>0.38831832869468247</v>
      </c>
      <c r="O40" s="10">
        <v>0.47571840985547104</v>
      </c>
      <c r="P40" s="10">
        <v>0.4316426968858309</v>
      </c>
      <c r="Q40" s="10">
        <v>24.394827206900001</v>
      </c>
      <c r="R40" s="10">
        <v>45.865946451799999</v>
      </c>
      <c r="S40" s="10">
        <v>38.919052759800003</v>
      </c>
      <c r="T40" s="10">
        <v>52.065887451199998</v>
      </c>
      <c r="U40" s="10">
        <v>56.216473897299998</v>
      </c>
      <c r="V40" s="10">
        <v>36.262366612800001</v>
      </c>
      <c r="W40" s="10">
        <v>27.834426319999999</v>
      </c>
      <c r="X40" s="10">
        <v>-26.578415400000001</v>
      </c>
    </row>
    <row r="41" spans="1:24" x14ac:dyDescent="0.45">
      <c r="A41">
        <v>74201033</v>
      </c>
      <c r="B41" t="s">
        <v>30</v>
      </c>
      <c r="D41">
        <v>1</v>
      </c>
      <c r="E41" s="10">
        <v>0.90442066918457453</v>
      </c>
      <c r="F41" s="10">
        <v>4.347999372596314E-3</v>
      </c>
      <c r="G41" s="10">
        <v>0.60743078768236158</v>
      </c>
      <c r="H41" s="10">
        <v>4.0011985748507188E-4</v>
      </c>
      <c r="I41" s="10">
        <v>0.20197729094264802</v>
      </c>
      <c r="J41" s="10">
        <v>7.4079538946760962E-2</v>
      </c>
      <c r="K41" s="10">
        <v>4.4346254472763601E-2</v>
      </c>
      <c r="L41" s="10">
        <v>0.40318105871830723</v>
      </c>
      <c r="M41" s="10">
        <v>0.51896949346848587</v>
      </c>
      <c r="N41" s="10">
        <v>0.3757866390886509</v>
      </c>
      <c r="O41" s="10">
        <v>0.52945689898152282</v>
      </c>
      <c r="P41" s="10">
        <v>0.45684852256424169</v>
      </c>
      <c r="Q41" s="10">
        <v>24.341569582599998</v>
      </c>
      <c r="R41" s="10">
        <v>49.8780250549</v>
      </c>
      <c r="S41" s="10">
        <v>42.734642028800003</v>
      </c>
      <c r="T41" s="10">
        <v>56.058063507100002</v>
      </c>
      <c r="U41" s="10">
        <v>60.997043609599999</v>
      </c>
      <c r="V41" s="10">
        <v>39.722351074199999</v>
      </c>
      <c r="W41" s="10">
        <v>27.83555527</v>
      </c>
      <c r="X41" s="10">
        <v>-26.564306370000001</v>
      </c>
    </row>
    <row r="42" spans="1:24" x14ac:dyDescent="0.45">
      <c r="A42">
        <v>74201034</v>
      </c>
      <c r="B42" t="s">
        <v>30</v>
      </c>
      <c r="D42">
        <v>1</v>
      </c>
      <c r="E42" s="10">
        <v>0.93216944132466917</v>
      </c>
      <c r="F42" s="10">
        <v>4.8842921756099791E-2</v>
      </c>
      <c r="G42" s="10">
        <v>0.6373465980529105</v>
      </c>
      <c r="H42" s="10">
        <v>1.3575750223733057E-3</v>
      </c>
      <c r="I42" s="10">
        <v>0.12795145438073757</v>
      </c>
      <c r="J42" s="10">
        <v>9.4622803970412159E-2</v>
      </c>
      <c r="K42" s="10">
        <v>0.14274082414126271</v>
      </c>
      <c r="L42" s="10">
        <v>0.40520534275248665</v>
      </c>
      <c r="M42" s="10">
        <v>0.37928803276685502</v>
      </c>
      <c r="N42" s="10">
        <v>0.33653383007798815</v>
      </c>
      <c r="O42" s="10">
        <v>0.43963823184516049</v>
      </c>
      <c r="P42" s="10">
        <v>0.39016635936062261</v>
      </c>
      <c r="Q42" s="10">
        <v>25.355401039099998</v>
      </c>
      <c r="R42" s="10">
        <v>48.979635238599997</v>
      </c>
      <c r="S42" s="10">
        <v>41.822727203399999</v>
      </c>
      <c r="T42" s="10">
        <v>55.159566879300002</v>
      </c>
      <c r="U42" s="10">
        <v>59.980010032700001</v>
      </c>
      <c r="V42" s="10">
        <v>38.956235885600002</v>
      </c>
      <c r="W42" s="10">
        <v>27.847490029999999</v>
      </c>
      <c r="X42" s="10">
        <v>-26.571862629999998</v>
      </c>
    </row>
    <row r="43" spans="1:24" x14ac:dyDescent="0.45">
      <c r="A43">
        <v>74201035</v>
      </c>
      <c r="B43" t="s">
        <v>30</v>
      </c>
      <c r="D43">
        <v>1</v>
      </c>
      <c r="E43" s="10">
        <v>0.9934841017452728</v>
      </c>
      <c r="F43" s="10">
        <v>3.0764882442003837E-2</v>
      </c>
      <c r="G43" s="10">
        <v>0.63643338956402606</v>
      </c>
      <c r="H43" s="10">
        <v>0</v>
      </c>
      <c r="I43" s="10">
        <v>0.23604204810405549</v>
      </c>
      <c r="J43" s="10">
        <v>9.6063450156488428E-2</v>
      </c>
      <c r="K43" s="10">
        <v>0.10765431133331277</v>
      </c>
      <c r="L43" s="10">
        <v>0.30851192210855388</v>
      </c>
      <c r="M43" s="10">
        <v>0.26106853335576929</v>
      </c>
      <c r="N43" s="10">
        <v>0.2546210392484653</v>
      </c>
      <c r="O43" s="10">
        <v>0.32395329593253408</v>
      </c>
      <c r="P43" s="10">
        <v>0.28703869766133061</v>
      </c>
      <c r="Q43" s="10">
        <v>24.997436523400001</v>
      </c>
      <c r="R43" s="10">
        <v>47.804556274399999</v>
      </c>
      <c r="S43" s="10">
        <v>40.691925048800002</v>
      </c>
      <c r="T43" s="10">
        <v>54.054714965800002</v>
      </c>
      <c r="U43" s="10">
        <v>58.558831024200003</v>
      </c>
      <c r="V43" s="10">
        <v>37.912752533000003</v>
      </c>
      <c r="W43" s="10">
        <v>27.84173783</v>
      </c>
      <c r="X43" s="10">
        <v>-26.575662749999999</v>
      </c>
    </row>
    <row r="44" spans="1:24" x14ac:dyDescent="0.45">
      <c r="A44">
        <v>74201036</v>
      </c>
      <c r="B44" t="s">
        <v>30</v>
      </c>
      <c r="D44">
        <v>1</v>
      </c>
      <c r="E44" s="10">
        <v>0.38321258823336646</v>
      </c>
      <c r="F44" s="10">
        <v>0.63649464277828749</v>
      </c>
      <c r="G44" s="10">
        <v>0.63393334493549214</v>
      </c>
      <c r="H44" s="10">
        <v>1.5981625983393435E-3</v>
      </c>
      <c r="I44" s="10">
        <v>0.11513282979265277</v>
      </c>
      <c r="J44" s="10">
        <v>1.1070327426237359E-2</v>
      </c>
      <c r="K44" s="10">
        <v>0.21007141801824092</v>
      </c>
      <c r="L44" s="10">
        <v>0.52672110311885378</v>
      </c>
      <c r="M44" s="10">
        <v>0.74919079231011965</v>
      </c>
      <c r="N44" s="10">
        <v>0.45380834470974923</v>
      </c>
      <c r="O44" s="10">
        <v>0.78037317211883939</v>
      </c>
      <c r="P44" s="10">
        <v>0.62752335306439044</v>
      </c>
      <c r="Q44" s="10">
        <v>32.4356708527</v>
      </c>
      <c r="R44" s="10">
        <v>49.350624604700002</v>
      </c>
      <c r="S44" s="10">
        <v>41.556559707200002</v>
      </c>
      <c r="T44" s="10">
        <v>55.895566824699998</v>
      </c>
      <c r="U44" s="10">
        <v>60.564468325999997</v>
      </c>
      <c r="V44" s="10">
        <v>39.385900670799998</v>
      </c>
      <c r="W44" s="10">
        <v>27.863967110000001</v>
      </c>
      <c r="X44" s="10">
        <v>-26.585752939999999</v>
      </c>
    </row>
    <row r="45" spans="1:24" x14ac:dyDescent="0.45">
      <c r="A45">
        <v>74201037</v>
      </c>
      <c r="B45" t="s">
        <v>30</v>
      </c>
      <c r="D45">
        <v>1</v>
      </c>
      <c r="E45" s="10">
        <v>0.93609872216637957</v>
      </c>
      <c r="F45" s="10">
        <v>9.8184821118420681E-2</v>
      </c>
      <c r="G45" s="10">
        <v>0.62415595728140161</v>
      </c>
      <c r="H45" s="10">
        <v>0</v>
      </c>
      <c r="I45" s="10">
        <v>0.20714859152290549</v>
      </c>
      <c r="J45" s="10">
        <v>9.5354923789448723E-2</v>
      </c>
      <c r="K45" s="10">
        <v>0.26029100819910789</v>
      </c>
      <c r="L45" s="10">
        <v>0.37191222586971601</v>
      </c>
      <c r="M45" s="10">
        <v>0.43014189029298294</v>
      </c>
      <c r="N45" s="10">
        <v>0.32297342742665741</v>
      </c>
      <c r="O45" s="10">
        <v>0.43199394273249592</v>
      </c>
      <c r="P45" s="10">
        <v>0.38925537158046308</v>
      </c>
      <c r="Q45" s="10">
        <v>26.107688426999999</v>
      </c>
      <c r="R45" s="10">
        <v>51.764217376700003</v>
      </c>
      <c r="S45" s="10">
        <v>44.531410217299999</v>
      </c>
      <c r="T45" s="10">
        <v>57.146384239200003</v>
      </c>
      <c r="U45" s="10">
        <v>63.388751030000002</v>
      </c>
      <c r="V45" s="10">
        <v>41.990318298299997</v>
      </c>
      <c r="W45" s="10">
        <v>27.869682189999999</v>
      </c>
      <c r="X45" s="10">
        <v>-26.555587030000002</v>
      </c>
    </row>
    <row r="46" spans="1:24" x14ac:dyDescent="0.45">
      <c r="A46">
        <v>74201038</v>
      </c>
      <c r="B46" t="s">
        <v>30</v>
      </c>
      <c r="D46">
        <v>1</v>
      </c>
      <c r="E46" s="10">
        <v>0.74648974880369079</v>
      </c>
      <c r="F46" s="10">
        <v>1.724382425088903E-2</v>
      </c>
      <c r="G46" s="10">
        <v>0.61304006216801621</v>
      </c>
      <c r="H46" s="10">
        <v>2.7097258406071171E-4</v>
      </c>
      <c r="I46" s="10">
        <v>0.24839600988804034</v>
      </c>
      <c r="J46" s="10">
        <v>4.7356783018658685E-2</v>
      </c>
      <c r="K46" s="10">
        <v>0.15795297068153447</v>
      </c>
      <c r="L46" s="10">
        <v>0.49104790731672654</v>
      </c>
      <c r="M46" s="10">
        <v>0.66893873981345442</v>
      </c>
      <c r="N46" s="10">
        <v>0.55106716229227859</v>
      </c>
      <c r="O46" s="10">
        <v>0.69772758572412108</v>
      </c>
      <c r="P46" s="10">
        <v>0.60219534878664516</v>
      </c>
      <c r="Q46" s="10">
        <v>24.101795196499999</v>
      </c>
      <c r="R46" s="10">
        <v>49.477510452300002</v>
      </c>
      <c r="S46" s="10">
        <v>42.248877116599999</v>
      </c>
      <c r="T46" s="10">
        <v>54.081713267700003</v>
      </c>
      <c r="U46" s="10">
        <v>61.366155896899997</v>
      </c>
      <c r="V46" s="10">
        <v>40.213296072799999</v>
      </c>
      <c r="W46" s="10">
        <v>27.878556289999999</v>
      </c>
      <c r="X46" s="10">
        <v>-26.542623989999999</v>
      </c>
    </row>
    <row r="47" spans="1:24" x14ac:dyDescent="0.45">
      <c r="A47">
        <v>74201039</v>
      </c>
      <c r="B47" t="s">
        <v>30</v>
      </c>
      <c r="D47">
        <v>1</v>
      </c>
      <c r="E47" s="10">
        <v>0.95564942670999498</v>
      </c>
      <c r="F47" s="10">
        <v>6.1149492339248497E-2</v>
      </c>
      <c r="G47" s="10">
        <v>0.63556292798566916</v>
      </c>
      <c r="H47" s="10">
        <v>1.1817130879069734E-3</v>
      </c>
      <c r="I47" s="10">
        <v>0.3801394849857857</v>
      </c>
      <c r="J47" s="10">
        <v>9.4110881001636004E-2</v>
      </c>
      <c r="K47" s="10">
        <v>0.24841472079585861</v>
      </c>
      <c r="L47" s="10">
        <v>0.33967009921781305</v>
      </c>
      <c r="M47" s="10">
        <v>0.36381410761017929</v>
      </c>
      <c r="N47" s="10">
        <v>0.27834583590955553</v>
      </c>
      <c r="O47" s="10">
        <v>0.40203352296192824</v>
      </c>
      <c r="P47" s="10">
        <v>0.345965891424869</v>
      </c>
      <c r="Q47" s="10">
        <v>26.037488937399999</v>
      </c>
      <c r="R47" s="10">
        <v>52.830404917400003</v>
      </c>
      <c r="S47" s="10">
        <v>45.449307123799997</v>
      </c>
      <c r="T47" s="10">
        <v>57.954277038599997</v>
      </c>
      <c r="U47" s="10">
        <v>64.758918762199997</v>
      </c>
      <c r="V47" s="10">
        <v>43.159114201900003</v>
      </c>
      <c r="W47" s="10">
        <v>27.881588749999999</v>
      </c>
      <c r="X47" s="10">
        <v>-26.554301150000001</v>
      </c>
    </row>
    <row r="48" spans="1:24" x14ac:dyDescent="0.45">
      <c r="A48">
        <v>74201040</v>
      </c>
      <c r="B48" t="s">
        <v>30</v>
      </c>
      <c r="D48">
        <v>1</v>
      </c>
      <c r="E48" s="10">
        <v>0.69876500322977997</v>
      </c>
      <c r="F48" s="10">
        <v>1.5923841700801411E-2</v>
      </c>
      <c r="G48" s="10">
        <v>0.61848157663377523</v>
      </c>
      <c r="H48" s="10">
        <v>0</v>
      </c>
      <c r="I48" s="10">
        <v>4.134867402306041E-2</v>
      </c>
      <c r="J48" s="10">
        <v>5.5804928010654349E-2</v>
      </c>
      <c r="K48" s="10">
        <v>4.927362900137093E-2</v>
      </c>
      <c r="L48" s="10">
        <v>0.49685006565670503</v>
      </c>
      <c r="M48" s="10">
        <v>0.57948162427306837</v>
      </c>
      <c r="N48" s="10">
        <v>0.55361641796763561</v>
      </c>
      <c r="O48" s="10">
        <v>0.68884431241766642</v>
      </c>
      <c r="P48" s="10">
        <v>0.57969810507876884</v>
      </c>
      <c r="Q48" s="10">
        <v>23.625276803999999</v>
      </c>
      <c r="R48" s="10">
        <v>46.5438456535</v>
      </c>
      <c r="S48" s="10">
        <v>39.315836429599997</v>
      </c>
      <c r="T48" s="10">
        <v>50.412046432499999</v>
      </c>
      <c r="U48" s="10">
        <v>58.661101818100001</v>
      </c>
      <c r="V48" s="10">
        <v>37.786396026600002</v>
      </c>
      <c r="W48" s="10">
        <v>27.879852419999999</v>
      </c>
      <c r="X48" s="10">
        <v>-26.52902181</v>
      </c>
    </row>
    <row r="49" spans="1:24" x14ac:dyDescent="0.45">
      <c r="A49">
        <v>74201041</v>
      </c>
      <c r="B49" t="s">
        <v>30</v>
      </c>
      <c r="D49">
        <v>1</v>
      </c>
      <c r="E49" s="10">
        <v>0.93661107590967807</v>
      </c>
      <c r="F49" s="10">
        <v>1.9290246717580364E-2</v>
      </c>
      <c r="G49" s="10">
        <v>0.63786733190147715</v>
      </c>
      <c r="H49" s="10">
        <v>0</v>
      </c>
      <c r="I49" s="10">
        <v>0.3636577009602352</v>
      </c>
      <c r="J49" s="10">
        <v>7.0988479838857685E-2</v>
      </c>
      <c r="K49" s="10">
        <v>5.9254526764444988E-2</v>
      </c>
      <c r="L49" s="10">
        <v>0.3992710019976487</v>
      </c>
      <c r="M49" s="10">
        <v>0.4805262902713443</v>
      </c>
      <c r="N49" s="10">
        <v>0.36117837802616043</v>
      </c>
      <c r="O49" s="10">
        <v>0.4989326872181436</v>
      </c>
      <c r="P49" s="10">
        <v>0.43497708937832424</v>
      </c>
      <c r="Q49" s="10">
        <v>22.917160749400001</v>
      </c>
      <c r="R49" s="10">
        <v>44.089956283600003</v>
      </c>
      <c r="S49" s="10">
        <v>37.268926620499997</v>
      </c>
      <c r="T49" s="10">
        <v>47.805393219000003</v>
      </c>
      <c r="U49" s="10">
        <v>55.766893863699998</v>
      </c>
      <c r="V49" s="10">
        <v>35.518613338500003</v>
      </c>
      <c r="W49" s="10">
        <v>27.869174480000002</v>
      </c>
      <c r="X49" s="10">
        <v>-26.523835089999999</v>
      </c>
    </row>
    <row r="50" spans="1:24" x14ac:dyDescent="0.45">
      <c r="A50">
        <v>74201042</v>
      </c>
      <c r="B50" t="s">
        <v>30</v>
      </c>
      <c r="D50">
        <v>1</v>
      </c>
      <c r="E50" s="10">
        <v>0.55559674273319892</v>
      </c>
      <c r="F50" s="10">
        <v>1.6193184177861031E-2</v>
      </c>
      <c r="G50" s="10">
        <v>0.60567970894891188</v>
      </c>
      <c r="H50" s="10">
        <v>0</v>
      </c>
      <c r="I50" s="10">
        <v>0.78627498481595559</v>
      </c>
      <c r="J50" s="10">
        <v>3.5759396753036153E-2</v>
      </c>
      <c r="K50" s="10">
        <v>0.18577712974735625</v>
      </c>
      <c r="L50" s="10">
        <v>0.56909339020066563</v>
      </c>
      <c r="M50" s="10">
        <v>0.90627066981222704</v>
      </c>
      <c r="N50" s="10">
        <v>0.67096951374926272</v>
      </c>
      <c r="O50" s="10">
        <v>0.8696639884174252</v>
      </c>
      <c r="P50" s="10">
        <v>0.75399939054489518</v>
      </c>
      <c r="Q50" s="10">
        <v>24.005489349400001</v>
      </c>
      <c r="R50" s="10">
        <v>47.362616539000001</v>
      </c>
      <c r="S50" s="10">
        <v>40.4513506889</v>
      </c>
      <c r="T50" s="10">
        <v>52.0446271896</v>
      </c>
      <c r="U50" s="10">
        <v>58.814855575599999</v>
      </c>
      <c r="V50" s="10">
        <v>38.139633178700002</v>
      </c>
      <c r="W50" s="10">
        <v>27.86375928</v>
      </c>
      <c r="X50" s="10">
        <v>-26.541302389999998</v>
      </c>
    </row>
    <row r="51" spans="1:24" x14ac:dyDescent="0.45">
      <c r="A51">
        <v>74201043</v>
      </c>
      <c r="B51" t="s">
        <v>30</v>
      </c>
      <c r="D51">
        <v>1</v>
      </c>
      <c r="E51" s="10">
        <v>0.88680817465539774</v>
      </c>
      <c r="F51" s="10">
        <v>3.4607794589289052E-2</v>
      </c>
      <c r="G51" s="10">
        <v>0.61348631147661314</v>
      </c>
      <c r="H51" s="10">
        <v>5.0462743283871091E-3</v>
      </c>
      <c r="I51" s="10">
        <v>0.78780248580021872</v>
      </c>
      <c r="J51" s="10">
        <v>3.6645211442127797E-2</v>
      </c>
      <c r="K51" s="10">
        <v>3.6357091126513016E-2</v>
      </c>
      <c r="L51" s="10">
        <v>0.54837334924862546</v>
      </c>
      <c r="M51" s="10">
        <v>0.81070814743458364</v>
      </c>
      <c r="N51" s="10">
        <v>0.57046067258291189</v>
      </c>
      <c r="O51" s="10">
        <v>0.78979340706984635</v>
      </c>
      <c r="P51" s="10">
        <v>0.67983389408399175</v>
      </c>
      <c r="Q51" s="10">
        <v>20.908981323199999</v>
      </c>
      <c r="R51" s="10">
        <v>41.482623338700002</v>
      </c>
      <c r="S51" s="10">
        <v>35.6959311962</v>
      </c>
      <c r="T51" s="10">
        <v>45.619687795600001</v>
      </c>
      <c r="U51" s="10">
        <v>51.783970832800001</v>
      </c>
      <c r="V51" s="10">
        <v>32.830906152700003</v>
      </c>
      <c r="W51" s="10">
        <v>27.834200079999999</v>
      </c>
      <c r="X51" s="10">
        <v>-26.526674839999998</v>
      </c>
    </row>
    <row r="52" spans="1:24" x14ac:dyDescent="0.45">
      <c r="A52">
        <v>74201044</v>
      </c>
      <c r="B52" t="s">
        <v>30</v>
      </c>
      <c r="D52">
        <v>1</v>
      </c>
      <c r="E52" s="10">
        <v>0.91023480214178154</v>
      </c>
      <c r="F52" s="10">
        <v>4.806121173105192E-2</v>
      </c>
      <c r="G52" s="10">
        <v>0.60776059589015585</v>
      </c>
      <c r="H52" s="10">
        <v>0</v>
      </c>
      <c r="I52" s="10">
        <v>1</v>
      </c>
      <c r="J52" s="10">
        <v>4.4439061617979475E-2</v>
      </c>
      <c r="K52" s="10">
        <v>0.12792614913022018</v>
      </c>
      <c r="L52" s="10">
        <v>0.56811197793097623</v>
      </c>
      <c r="M52" s="10">
        <v>0.91933165974177911</v>
      </c>
      <c r="N52" s="10">
        <v>0.61873406640823014</v>
      </c>
      <c r="O52" s="10">
        <v>0.8703871451713372</v>
      </c>
      <c r="P52" s="10">
        <v>0.74414121231308061</v>
      </c>
      <c r="Q52" s="10">
        <v>23.6491374969</v>
      </c>
      <c r="R52" s="10">
        <v>44.011806996700003</v>
      </c>
      <c r="S52" s="10">
        <v>37.568103536000002</v>
      </c>
      <c r="T52" s="10">
        <v>48.315339406299998</v>
      </c>
      <c r="U52" s="10">
        <v>55.027520243300003</v>
      </c>
      <c r="V52" s="10">
        <v>35.136267598499998</v>
      </c>
      <c r="W52" s="10">
        <v>27.850856390000001</v>
      </c>
      <c r="X52" s="10">
        <v>-26.531303550000001</v>
      </c>
    </row>
    <row r="53" spans="1:24" x14ac:dyDescent="0.45">
      <c r="A53">
        <v>74201045</v>
      </c>
      <c r="B53" t="s">
        <v>30</v>
      </c>
      <c r="D53">
        <v>1</v>
      </c>
      <c r="E53" s="10">
        <v>9.719871776252062E-2</v>
      </c>
      <c r="F53" s="10">
        <v>0.11599037523898278</v>
      </c>
      <c r="G53" s="10">
        <v>0.5944932003772575</v>
      </c>
      <c r="H53" s="10">
        <v>4.4925945532822932E-3</v>
      </c>
      <c r="I53" s="10">
        <v>2.1394122270862286E-2</v>
      </c>
      <c r="J53" s="10">
        <v>0</v>
      </c>
      <c r="K53" s="10">
        <v>0.137493960032081</v>
      </c>
      <c r="L53" s="10">
        <v>0.64459481360932058</v>
      </c>
      <c r="M53" s="10">
        <v>0.77782808597707864</v>
      </c>
      <c r="N53" s="10">
        <v>0.58600922683877787</v>
      </c>
      <c r="O53" s="10">
        <v>0.86632571926513791</v>
      </c>
      <c r="P53" s="10">
        <v>0.71868946142257872</v>
      </c>
      <c r="Q53" s="10">
        <v>31.474181811000001</v>
      </c>
      <c r="R53" s="10">
        <v>55.944980621299997</v>
      </c>
      <c r="S53" s="10">
        <v>46.999261856099999</v>
      </c>
      <c r="T53" s="10">
        <v>62.769636154200001</v>
      </c>
      <c r="U53" s="10">
        <v>68.553895950300003</v>
      </c>
      <c r="V53" s="10">
        <v>45.457124710099997</v>
      </c>
      <c r="W53" s="10">
        <v>27.907457569999998</v>
      </c>
      <c r="X53" s="10">
        <v>-26.602620609999999</v>
      </c>
    </row>
    <row r="54" spans="1:24" x14ac:dyDescent="0.45">
      <c r="A54">
        <v>74202002</v>
      </c>
      <c r="B54" t="s">
        <v>30</v>
      </c>
      <c r="D54">
        <v>1</v>
      </c>
      <c r="E54" s="10">
        <v>0.16374336282552399</v>
      </c>
      <c r="F54" s="10">
        <v>6.5183263917870632E-2</v>
      </c>
      <c r="G54" s="10">
        <v>0.52017416270992334</v>
      </c>
      <c r="H54" s="10">
        <v>3.7551395241257009E-2</v>
      </c>
      <c r="I54" s="10">
        <v>8.3700775504190229E-3</v>
      </c>
      <c r="J54" s="10">
        <v>1.5350414994293087E-4</v>
      </c>
      <c r="K54" s="10">
        <v>7.5691188366762419E-2</v>
      </c>
      <c r="L54" s="10">
        <v>0.68322702314317385</v>
      </c>
      <c r="M54" s="10">
        <v>0.86913522682890487</v>
      </c>
      <c r="N54" s="10">
        <v>0.65200564840669251</v>
      </c>
      <c r="O54" s="10">
        <v>0.92854800472457488</v>
      </c>
      <c r="P54" s="10">
        <v>0.78322897577583639</v>
      </c>
      <c r="Q54" s="10">
        <v>35.6553605398</v>
      </c>
      <c r="R54" s="10">
        <v>70.970594325500002</v>
      </c>
      <c r="S54" s="10">
        <v>57.538605434799997</v>
      </c>
      <c r="T54" s="10">
        <v>77.359070791299999</v>
      </c>
      <c r="U54" s="10">
        <v>88.630351106899994</v>
      </c>
      <c r="V54" s="10">
        <v>60.354348894600001</v>
      </c>
      <c r="W54" s="10">
        <v>27.985117030000001</v>
      </c>
      <c r="X54" s="10">
        <v>-26.63016258</v>
      </c>
    </row>
    <row r="55" spans="1:24" x14ac:dyDescent="0.45">
      <c r="A55">
        <v>74202008</v>
      </c>
      <c r="B55" t="s">
        <v>30</v>
      </c>
      <c r="D55">
        <v>1</v>
      </c>
      <c r="E55" s="10">
        <v>0.40772408701770446</v>
      </c>
      <c r="F55" s="10">
        <v>0.79438677173830041</v>
      </c>
      <c r="G55" s="10">
        <v>0.56941227099788094</v>
      </c>
      <c r="H55" s="10">
        <v>0.14082633497969066</v>
      </c>
      <c r="I55" s="10">
        <v>7.5499298814534474E-2</v>
      </c>
      <c r="J55" s="10">
        <v>2.0084892652079588E-2</v>
      </c>
      <c r="K55" s="10">
        <v>1.2127863723715613E-2</v>
      </c>
      <c r="L55" s="10">
        <v>0.46333802715642358</v>
      </c>
      <c r="M55" s="10">
        <v>0.66737899956530244</v>
      </c>
      <c r="N55" s="10">
        <v>0.36449347015926553</v>
      </c>
      <c r="O55" s="10">
        <v>0.59930056290459843</v>
      </c>
      <c r="P55" s="10">
        <v>0.5236277649463974</v>
      </c>
      <c r="Q55" s="10">
        <v>35.830120086699999</v>
      </c>
      <c r="R55" s="10">
        <v>80.037378787999998</v>
      </c>
      <c r="S55" s="10">
        <v>65.420416116699997</v>
      </c>
      <c r="T55" s="10">
        <v>82.110608100899995</v>
      </c>
      <c r="U55" s="10">
        <v>101.44345665</v>
      </c>
      <c r="V55" s="10">
        <v>71.175033569299998</v>
      </c>
      <c r="W55" s="10">
        <v>28.009733700000002</v>
      </c>
      <c r="X55" s="10">
        <v>-26.544489349999999</v>
      </c>
    </row>
    <row r="56" spans="1:24" x14ac:dyDescent="0.45">
      <c r="A56">
        <v>74202009</v>
      </c>
      <c r="B56" t="s">
        <v>30</v>
      </c>
      <c r="D56">
        <v>1</v>
      </c>
      <c r="E56" s="10">
        <v>0.77116815876200939</v>
      </c>
      <c r="F56" s="10">
        <v>8.4953023371901627E-3</v>
      </c>
      <c r="G56" s="10">
        <v>0.55759431673458082</v>
      </c>
      <c r="H56" s="10">
        <v>2.6017318358740227E-3</v>
      </c>
      <c r="I56" s="10">
        <v>0</v>
      </c>
      <c r="J56" s="10">
        <v>4.2900441228784546E-3</v>
      </c>
      <c r="K56" s="10">
        <v>3.5511395040249048E-2</v>
      </c>
      <c r="L56" s="10">
        <v>0.54183984732884771</v>
      </c>
      <c r="M56" s="10">
        <v>0.74839541429617884</v>
      </c>
      <c r="N56" s="10">
        <v>0.66764873988278894</v>
      </c>
      <c r="O56" s="10">
        <v>0.64429543090306485</v>
      </c>
      <c r="P56" s="10">
        <v>0.65054485810272011</v>
      </c>
      <c r="Q56" s="10">
        <v>35.096772766100003</v>
      </c>
      <c r="R56" s="10">
        <v>83.528701782200002</v>
      </c>
      <c r="S56" s="10">
        <v>67.676860046399995</v>
      </c>
      <c r="T56" s="10">
        <v>85.8677902222</v>
      </c>
      <c r="U56" s="10">
        <v>105.985423279</v>
      </c>
      <c r="V56" s="10">
        <v>74.584735107399993</v>
      </c>
      <c r="W56" s="10">
        <v>28.015610500000001</v>
      </c>
      <c r="X56" s="10">
        <v>-26.55786569</v>
      </c>
    </row>
    <row r="57" spans="1:24" x14ac:dyDescent="0.45">
      <c r="A57">
        <v>74202010</v>
      </c>
      <c r="B57" t="s">
        <v>30</v>
      </c>
      <c r="D57">
        <v>1</v>
      </c>
      <c r="E57" s="10">
        <v>0.53508877100614904</v>
      </c>
      <c r="F57" s="10">
        <v>7.3367259628234885E-2</v>
      </c>
      <c r="G57" s="10">
        <v>0.56743931214354904</v>
      </c>
      <c r="H57" s="10">
        <v>0.54998032059168001</v>
      </c>
      <c r="I57" s="10">
        <v>0.22860446462957265</v>
      </c>
      <c r="J57" s="10">
        <v>1.276908453802926E-2</v>
      </c>
      <c r="K57" s="10">
        <v>1.8549215428268248E-2</v>
      </c>
      <c r="L57" s="10">
        <v>0.36283716198374388</v>
      </c>
      <c r="M57" s="10">
        <v>0.53419206964252686</v>
      </c>
      <c r="N57" s="10">
        <v>0.30514886614568698</v>
      </c>
      <c r="O57" s="10">
        <v>0.48521037743327455</v>
      </c>
      <c r="P57" s="10">
        <v>0.42184711880130804</v>
      </c>
      <c r="Q57" s="10">
        <v>45.721988678000002</v>
      </c>
      <c r="R57" s="10">
        <v>92.443921770399996</v>
      </c>
      <c r="S57" s="10">
        <v>76.841395786800007</v>
      </c>
      <c r="T57" s="10">
        <v>96.079128447000002</v>
      </c>
      <c r="U57" s="10">
        <v>114.827799842</v>
      </c>
      <c r="V57" s="10">
        <v>82.027369181300003</v>
      </c>
      <c r="W57" s="10">
        <v>28.00097414</v>
      </c>
      <c r="X57" s="10">
        <v>-26.562377040000001</v>
      </c>
    </row>
    <row r="58" spans="1:24" x14ac:dyDescent="0.45">
      <c r="A58">
        <v>74202014</v>
      </c>
      <c r="B58" t="s">
        <v>30</v>
      </c>
      <c r="D58">
        <v>1</v>
      </c>
      <c r="E58" s="10">
        <v>0.43059529612454861</v>
      </c>
      <c r="F58" s="10">
        <v>4.2187776185386314E-2</v>
      </c>
      <c r="G58" s="10">
        <v>0.54652633390318117</v>
      </c>
      <c r="H58" s="10">
        <v>5.494244660309483E-2</v>
      </c>
      <c r="I58" s="10">
        <v>1.9772552531149533E-3</v>
      </c>
      <c r="J58" s="10">
        <v>6.3873965436956406E-3</v>
      </c>
      <c r="K58" s="10">
        <v>2.8061699088419104E-2</v>
      </c>
      <c r="L58" s="10">
        <v>0.67810288569490484</v>
      </c>
      <c r="M58" s="10">
        <v>0.9300720041761904</v>
      </c>
      <c r="N58" s="10">
        <v>0.72967265881710708</v>
      </c>
      <c r="O58" s="10">
        <v>0.84468282762139957</v>
      </c>
      <c r="P58" s="10">
        <v>0.7956325940774005</v>
      </c>
      <c r="Q58" s="10">
        <v>29.600353241000001</v>
      </c>
      <c r="R58" s="10">
        <v>70.077659606899999</v>
      </c>
      <c r="S58" s="10">
        <v>52.948143005399999</v>
      </c>
      <c r="T58" s="10">
        <v>70.499351501500001</v>
      </c>
      <c r="U58" s="10">
        <v>93.260520935100004</v>
      </c>
      <c r="V58" s="10">
        <v>63.602630615199999</v>
      </c>
      <c r="W58" s="10">
        <v>28.024627469999999</v>
      </c>
      <c r="X58" s="10">
        <v>-26.558755179999999</v>
      </c>
    </row>
    <row r="59" spans="1:24" x14ac:dyDescent="0.45">
      <c r="A59">
        <v>79700001</v>
      </c>
      <c r="B59" t="s">
        <v>22</v>
      </c>
      <c r="D59">
        <v>1</v>
      </c>
      <c r="E59" s="10">
        <v>0.19197504215453254</v>
      </c>
      <c r="F59" s="10">
        <v>0.12123992293405651</v>
      </c>
      <c r="G59" s="10">
        <v>0.622434350193937</v>
      </c>
      <c r="H59" s="10">
        <v>2.8948809420602348E-3</v>
      </c>
      <c r="I59" s="10">
        <v>0.49763061235584505</v>
      </c>
      <c r="J59" s="10">
        <v>1.4098710580573317E-2</v>
      </c>
      <c r="K59" s="10">
        <v>0.12998296633557355</v>
      </c>
      <c r="L59" s="10">
        <v>0.63248813861617037</v>
      </c>
      <c r="M59" s="10">
        <v>0.65511272196540271</v>
      </c>
      <c r="N59" s="10">
        <v>0.54702759137907497</v>
      </c>
      <c r="O59" s="10">
        <v>0.73639931084802568</v>
      </c>
      <c r="P59" s="10">
        <v>0.64275694070216838</v>
      </c>
      <c r="Q59" s="10">
        <v>30.229903902299998</v>
      </c>
      <c r="R59" s="10">
        <v>61.9355697632</v>
      </c>
      <c r="S59" s="10">
        <v>50.501178741499999</v>
      </c>
      <c r="T59" s="10">
        <v>66.794265747099999</v>
      </c>
      <c r="U59" s="10">
        <v>77.379249572800006</v>
      </c>
      <c r="V59" s="10">
        <v>53.067584991499999</v>
      </c>
      <c r="W59" s="10">
        <v>28.194647270000001</v>
      </c>
      <c r="X59" s="10">
        <v>-25.945583169999999</v>
      </c>
    </row>
    <row r="60" spans="1:24" x14ac:dyDescent="0.45">
      <c r="A60">
        <v>79700002</v>
      </c>
      <c r="B60" t="s">
        <v>22</v>
      </c>
      <c r="D60">
        <v>1</v>
      </c>
      <c r="E60" s="10">
        <v>0.69450564649032842</v>
      </c>
      <c r="F60" s="10">
        <v>0.11399542091567648</v>
      </c>
      <c r="G60" s="10">
        <v>0.68718512533576481</v>
      </c>
      <c r="H60" s="10">
        <v>2.8549598889589358E-3</v>
      </c>
      <c r="I60" s="10">
        <v>0.30292291021148132</v>
      </c>
      <c r="J60" s="10">
        <v>0.14013228847883533</v>
      </c>
      <c r="K60" s="10">
        <v>0.1028574884784956</v>
      </c>
      <c r="L60" s="10">
        <v>0.28052362402535791</v>
      </c>
      <c r="M60" s="10">
        <v>0.39973548597116532</v>
      </c>
      <c r="N60" s="10">
        <v>0.25087540589470286</v>
      </c>
      <c r="O60" s="10">
        <v>0.37484593245852221</v>
      </c>
      <c r="P60" s="10">
        <v>0.32649511208743709</v>
      </c>
      <c r="Q60" s="10">
        <v>38.405952453600001</v>
      </c>
      <c r="R60" s="10">
        <v>52.499245961500002</v>
      </c>
      <c r="S60" s="10">
        <v>40.344692866000003</v>
      </c>
      <c r="T60" s="10">
        <v>57.265016555800003</v>
      </c>
      <c r="U60" s="10">
        <v>69.040707906099996</v>
      </c>
      <c r="V60" s="10">
        <v>43.346572876000003</v>
      </c>
      <c r="W60" s="10">
        <v>28.233853409999998</v>
      </c>
      <c r="X60" s="10">
        <v>-25.995024050000001</v>
      </c>
    </row>
    <row r="61" spans="1:24" x14ac:dyDescent="0.45">
      <c r="A61">
        <v>79700003</v>
      </c>
      <c r="B61" t="s">
        <v>22</v>
      </c>
      <c r="D61">
        <v>1</v>
      </c>
      <c r="E61" s="10">
        <v>0.73395098709060425</v>
      </c>
      <c r="F61" s="10">
        <v>4.1111659475266661E-2</v>
      </c>
      <c r="G61" s="10">
        <v>0.65525644764802393</v>
      </c>
      <c r="H61" s="10">
        <v>3.726779685988098E-4</v>
      </c>
      <c r="I61" s="10">
        <v>0.65219373420005278</v>
      </c>
      <c r="J61" s="10">
        <v>0.11590339448107191</v>
      </c>
      <c r="K61" s="10">
        <v>0.11204368090306713</v>
      </c>
      <c r="L61" s="10">
        <v>0.3486373563654806</v>
      </c>
      <c r="M61" s="10">
        <v>0.40330430982689208</v>
      </c>
      <c r="N61" s="10">
        <v>0.30668134800136565</v>
      </c>
      <c r="O61" s="10">
        <v>0.40262520208106545</v>
      </c>
      <c r="P61" s="10">
        <v>0.36531205406870093</v>
      </c>
      <c r="Q61" s="10">
        <v>36.680480957</v>
      </c>
      <c r="R61" s="10">
        <v>50.934426784499998</v>
      </c>
      <c r="S61" s="10">
        <v>39.042330741900003</v>
      </c>
      <c r="T61" s="10">
        <v>55.632270336200001</v>
      </c>
      <c r="U61" s="10">
        <v>67.265454292300007</v>
      </c>
      <c r="V61" s="10">
        <v>41.797657012899997</v>
      </c>
      <c r="W61" s="10">
        <v>28.218750700000001</v>
      </c>
      <c r="X61" s="10">
        <v>-25.986313670000001</v>
      </c>
    </row>
    <row r="62" spans="1:24" x14ac:dyDescent="0.45">
      <c r="A62">
        <v>79700004</v>
      </c>
      <c r="B62" t="s">
        <v>22</v>
      </c>
      <c r="D62">
        <v>1</v>
      </c>
      <c r="E62" s="10">
        <v>0.69916632292252712</v>
      </c>
      <c r="F62" s="10">
        <v>6.1111181068025907E-3</v>
      </c>
      <c r="G62" s="10">
        <v>0.70636730033519357</v>
      </c>
      <c r="H62" s="10">
        <v>3.5921779849975139E-3</v>
      </c>
      <c r="I62" s="10">
        <v>9.4405989556940351E-2</v>
      </c>
      <c r="J62" s="10">
        <v>0.18722838801953545</v>
      </c>
      <c r="K62" s="10">
        <v>3.5832317251504223E-2</v>
      </c>
      <c r="L62" s="10">
        <v>0.32436789286540313</v>
      </c>
      <c r="M62" s="10">
        <v>0.43965056653850515</v>
      </c>
      <c r="N62" s="10">
        <v>0.29594242194469284</v>
      </c>
      <c r="O62" s="10">
        <v>0.37415461284825785</v>
      </c>
      <c r="P62" s="10">
        <v>0.35852887354921475</v>
      </c>
      <c r="Q62" s="10">
        <v>37.998323440599997</v>
      </c>
      <c r="R62" s="10">
        <v>54.174072265600003</v>
      </c>
      <c r="S62" s="10">
        <v>41.831398010299999</v>
      </c>
      <c r="T62" s="10">
        <v>58.903669357299997</v>
      </c>
      <c r="U62" s="10">
        <v>70.7822990417</v>
      </c>
      <c r="V62" s="10">
        <v>45.1789245605</v>
      </c>
      <c r="W62" s="10">
        <v>28.244976879999999</v>
      </c>
      <c r="X62" s="10">
        <v>-26.00379594</v>
      </c>
    </row>
    <row r="63" spans="1:24" x14ac:dyDescent="0.45">
      <c r="A63">
        <v>79700005</v>
      </c>
      <c r="B63" t="s">
        <v>22</v>
      </c>
      <c r="D63">
        <v>1</v>
      </c>
      <c r="E63" s="10">
        <v>0.74905532066669944</v>
      </c>
      <c r="F63" s="10">
        <v>4.0919207449541604E-2</v>
      </c>
      <c r="G63" s="10">
        <v>0.71369519311937824</v>
      </c>
      <c r="H63" s="10">
        <v>7.5573841181190413E-2</v>
      </c>
      <c r="I63" s="10">
        <v>0.12533531441623622</v>
      </c>
      <c r="J63" s="10">
        <v>0.13696065766187307</v>
      </c>
      <c r="K63" s="10">
        <v>8.1160530074901788E-2</v>
      </c>
      <c r="L63" s="10">
        <v>0.24282354748269255</v>
      </c>
      <c r="M63" s="10">
        <v>0.30695628277041859</v>
      </c>
      <c r="N63" s="10">
        <v>0.20308103736407279</v>
      </c>
      <c r="O63" s="10">
        <v>0.28011515190169922</v>
      </c>
      <c r="P63" s="10">
        <v>0.25824400487972077</v>
      </c>
      <c r="Q63" s="10">
        <v>42.356647491499999</v>
      </c>
      <c r="R63" s="10">
        <v>53.409567515100001</v>
      </c>
      <c r="S63" s="10">
        <v>41.202207353399999</v>
      </c>
      <c r="T63" s="10">
        <v>58.198634253599998</v>
      </c>
      <c r="U63" s="10">
        <v>70.047593858499994</v>
      </c>
      <c r="V63" s="10">
        <v>44.189835442400003</v>
      </c>
      <c r="W63" s="10">
        <v>28.240411529999999</v>
      </c>
      <c r="X63" s="10">
        <v>-26.008848159999999</v>
      </c>
    </row>
    <row r="64" spans="1:24" x14ac:dyDescent="0.45">
      <c r="A64">
        <v>79700006</v>
      </c>
      <c r="B64" t="s">
        <v>22</v>
      </c>
      <c r="D64">
        <v>1</v>
      </c>
      <c r="E64" s="10">
        <v>0.80074277816485462</v>
      </c>
      <c r="F64" s="10">
        <v>0.13277178617181698</v>
      </c>
      <c r="G64" s="10">
        <v>0.73542179141306963</v>
      </c>
      <c r="H64" s="10">
        <v>2.4966929156703356E-3</v>
      </c>
      <c r="I64" s="10">
        <v>0.10730751781534718</v>
      </c>
      <c r="J64" s="10">
        <v>0.10881018293490526</v>
      </c>
      <c r="K64" s="10">
        <v>0.19861859250682226</v>
      </c>
      <c r="L64" s="10">
        <v>0.29753423920228361</v>
      </c>
      <c r="M64" s="10">
        <v>0.36645700767512362</v>
      </c>
      <c r="N64" s="10">
        <v>0.25459198629122526</v>
      </c>
      <c r="O64" s="10">
        <v>0.34173689193822004</v>
      </c>
      <c r="P64" s="10">
        <v>0.31508003127671314</v>
      </c>
      <c r="Q64" s="10">
        <v>36.362369537399999</v>
      </c>
      <c r="R64" s="10">
        <v>51.651541276400003</v>
      </c>
      <c r="S64" s="10">
        <v>39.687341169900002</v>
      </c>
      <c r="T64" s="10">
        <v>56.491651014799999</v>
      </c>
      <c r="U64" s="10">
        <v>68.226504239199997</v>
      </c>
      <c r="V64" s="10">
        <v>42.200669028500002</v>
      </c>
      <c r="W64" s="10">
        <v>28.223652019999999</v>
      </c>
      <c r="X64" s="10">
        <v>-26.0090605</v>
      </c>
    </row>
    <row r="65" spans="1:24" x14ac:dyDescent="0.45">
      <c r="A65">
        <v>79700007</v>
      </c>
      <c r="B65" t="s">
        <v>22</v>
      </c>
      <c r="D65">
        <v>1</v>
      </c>
      <c r="E65" s="10">
        <v>0.88746812957608101</v>
      </c>
      <c r="F65" s="10">
        <v>2.0517866042608322E-2</v>
      </c>
      <c r="G65" s="10">
        <v>0.71161845428201065</v>
      </c>
      <c r="H65" s="10">
        <v>0</v>
      </c>
      <c r="I65" s="10">
        <v>9.6953004084828806E-2</v>
      </c>
      <c r="J65" s="10">
        <v>0.1434962338415251</v>
      </c>
      <c r="K65" s="10">
        <v>0.20520703097244963</v>
      </c>
      <c r="L65" s="10">
        <v>0.1753220702324591</v>
      </c>
      <c r="M65" s="10">
        <v>0.13514980446390448</v>
      </c>
      <c r="N65" s="10">
        <v>0.10197759577351147</v>
      </c>
      <c r="O65" s="10">
        <v>0.15595943533788209</v>
      </c>
      <c r="P65" s="10">
        <v>0.14210222645193929</v>
      </c>
      <c r="Q65" s="10">
        <v>36.723151615699997</v>
      </c>
      <c r="R65" s="10">
        <v>51.165442875499998</v>
      </c>
      <c r="S65" s="10">
        <v>39.242040361699999</v>
      </c>
      <c r="T65" s="10">
        <v>55.935529436400003</v>
      </c>
      <c r="U65" s="10">
        <v>67.624067034000007</v>
      </c>
      <c r="V65" s="10">
        <v>41.860137394500001</v>
      </c>
      <c r="W65" s="10">
        <v>28.21772211</v>
      </c>
      <c r="X65" s="10">
        <v>-25.99918418</v>
      </c>
    </row>
    <row r="66" spans="1:24" x14ac:dyDescent="0.45">
      <c r="A66">
        <v>79700008</v>
      </c>
      <c r="B66" t="s">
        <v>22</v>
      </c>
      <c r="D66">
        <v>1</v>
      </c>
      <c r="E66" s="10">
        <v>0.39502473077719708</v>
      </c>
      <c r="F66" s="10">
        <v>0.18894586158612189</v>
      </c>
      <c r="G66" s="10">
        <v>0.76318929422587622</v>
      </c>
      <c r="H66" s="10">
        <v>7.4794225654828614E-3</v>
      </c>
      <c r="I66" s="10">
        <v>4.6638999579024447E-2</v>
      </c>
      <c r="J66" s="10">
        <v>6.7396074020478036E-2</v>
      </c>
      <c r="K66" s="10">
        <v>0.12092784818826409</v>
      </c>
      <c r="L66" s="10">
        <v>0.36953551481344166</v>
      </c>
      <c r="M66" s="10">
        <v>0.6070191976369016</v>
      </c>
      <c r="N66" s="10">
        <v>0.34979722194696006</v>
      </c>
      <c r="O66" s="10">
        <v>0.5033455597618951</v>
      </c>
      <c r="P66" s="10">
        <v>0.45742437353979959</v>
      </c>
      <c r="Q66" s="10">
        <v>36.670580211400001</v>
      </c>
      <c r="R66" s="10">
        <v>53.232752749799999</v>
      </c>
      <c r="S66" s="10">
        <v>41.132361562600003</v>
      </c>
      <c r="T66" s="10">
        <v>58.097763463100002</v>
      </c>
      <c r="U66" s="10">
        <v>69.964984291500002</v>
      </c>
      <c r="V66" s="10">
        <v>43.735902685900001</v>
      </c>
      <c r="W66" s="10">
        <v>28.239979000000002</v>
      </c>
      <c r="X66" s="10">
        <v>-26.021906040000001</v>
      </c>
    </row>
    <row r="67" spans="1:24" x14ac:dyDescent="0.45">
      <c r="A67">
        <v>79700009</v>
      </c>
      <c r="B67" t="s">
        <v>22</v>
      </c>
      <c r="D67">
        <v>1</v>
      </c>
      <c r="E67" s="10">
        <v>0.81510130491034338</v>
      </c>
      <c r="F67" s="10">
        <v>1.9809618646299078E-2</v>
      </c>
      <c r="G67" s="10">
        <v>0.69655406709654355</v>
      </c>
      <c r="H67" s="10">
        <v>5.2930086581463292E-3</v>
      </c>
      <c r="I67" s="10">
        <v>4.8123365396995174E-2</v>
      </c>
      <c r="J67" s="10">
        <v>0.10823806744068719</v>
      </c>
      <c r="K67" s="10">
        <v>0.30682126419428474</v>
      </c>
      <c r="L67" s="10">
        <v>0.24340945232941444</v>
      </c>
      <c r="M67" s="10">
        <v>0.31997415013012281</v>
      </c>
      <c r="N67" s="10">
        <v>0.20805030307192532</v>
      </c>
      <c r="O67" s="10">
        <v>0.29253797143294713</v>
      </c>
      <c r="P67" s="10">
        <v>0.26599296924110238</v>
      </c>
      <c r="Q67" s="10">
        <v>34.323515150299997</v>
      </c>
      <c r="R67" s="10">
        <v>50.465778350800001</v>
      </c>
      <c r="S67" s="10">
        <v>38.699958801299999</v>
      </c>
      <c r="T67" s="10">
        <v>55.269763522700003</v>
      </c>
      <c r="U67" s="10">
        <v>66.916410658100006</v>
      </c>
      <c r="V67" s="10">
        <v>40.976979573599998</v>
      </c>
      <c r="W67" s="10">
        <v>28.20680875</v>
      </c>
      <c r="X67" s="10">
        <v>-26.00928429</v>
      </c>
    </row>
    <row r="68" spans="1:24" x14ac:dyDescent="0.45">
      <c r="A68">
        <v>79700010</v>
      </c>
      <c r="B68" t="s">
        <v>22</v>
      </c>
      <c r="D68">
        <v>1</v>
      </c>
      <c r="E68" s="10">
        <v>0.76749264740791845</v>
      </c>
      <c r="F68" s="10">
        <v>3.0024827681676677E-2</v>
      </c>
      <c r="G68" s="10">
        <v>0.6756381015158347</v>
      </c>
      <c r="H68" s="10">
        <v>5.4558536573504728E-3</v>
      </c>
      <c r="I68" s="10">
        <v>2.9130377144419871E-2</v>
      </c>
      <c r="J68" s="10">
        <v>0.10335383460438613</v>
      </c>
      <c r="K68" s="10">
        <v>0.33909244503822522</v>
      </c>
      <c r="L68" s="10">
        <v>0.27819087068169629</v>
      </c>
      <c r="M68" s="10">
        <v>0.38498671099199983</v>
      </c>
      <c r="N68" s="10">
        <v>0.28446325207859896</v>
      </c>
      <c r="O68" s="10">
        <v>0.37525510875729279</v>
      </c>
      <c r="P68" s="10">
        <v>0.33072398562739697</v>
      </c>
      <c r="Q68" s="10">
        <v>32.470085144000002</v>
      </c>
      <c r="R68" s="10">
        <v>50.305911170100003</v>
      </c>
      <c r="S68" s="10">
        <v>38.588785383400001</v>
      </c>
      <c r="T68" s="10">
        <v>55.163617028099999</v>
      </c>
      <c r="U68" s="10">
        <v>66.815004136799999</v>
      </c>
      <c r="V68" s="10">
        <v>40.656237708200003</v>
      </c>
      <c r="W68" s="10">
        <v>28.200991720000001</v>
      </c>
      <c r="X68" s="10">
        <v>-26.020050130000001</v>
      </c>
    </row>
    <row r="69" spans="1:24" x14ac:dyDescent="0.45">
      <c r="A69">
        <v>79700011</v>
      </c>
      <c r="B69" t="s">
        <v>22</v>
      </c>
      <c r="D69">
        <v>1</v>
      </c>
      <c r="E69" s="10">
        <v>0.87467635702709012</v>
      </c>
      <c r="F69" s="10">
        <v>2.5490208903084181E-2</v>
      </c>
      <c r="G69" s="10">
        <v>0.70134643711328004</v>
      </c>
      <c r="H69" s="10">
        <v>3.5861994086735708E-4</v>
      </c>
      <c r="I69" s="10">
        <v>0.11891916889377439</v>
      </c>
      <c r="J69" s="10">
        <v>0.131215979705886</v>
      </c>
      <c r="K69" s="10">
        <v>0.31289998320707924</v>
      </c>
      <c r="L69" s="10">
        <v>0.2758689887288111</v>
      </c>
      <c r="M69" s="10">
        <v>0.28044893646119101</v>
      </c>
      <c r="N69" s="10">
        <v>0.21966101749349565</v>
      </c>
      <c r="O69" s="10">
        <v>0.3201675250702819</v>
      </c>
      <c r="P69" s="10">
        <v>0.27403661693844494</v>
      </c>
      <c r="Q69" s="10">
        <v>30.428817749</v>
      </c>
      <c r="R69" s="10">
        <v>49.679122448000001</v>
      </c>
      <c r="S69" s="10">
        <v>38.058213710799997</v>
      </c>
      <c r="T69" s="10">
        <v>54.530629634900002</v>
      </c>
      <c r="U69" s="10">
        <v>66.142831802399996</v>
      </c>
      <c r="V69" s="10">
        <v>39.984815120699999</v>
      </c>
      <c r="W69" s="10">
        <v>28.189325759999999</v>
      </c>
      <c r="X69" s="10">
        <v>-26.022180760000001</v>
      </c>
    </row>
    <row r="70" spans="1:24" x14ac:dyDescent="0.45">
      <c r="A70">
        <v>79700012</v>
      </c>
      <c r="B70" t="s">
        <v>22</v>
      </c>
      <c r="D70">
        <v>1</v>
      </c>
      <c r="E70" s="10">
        <v>0.60364860158988987</v>
      </c>
      <c r="F70" s="10">
        <v>5.7602320906927967E-3</v>
      </c>
      <c r="G70" s="10">
        <v>0.77176178430671327</v>
      </c>
      <c r="H70" s="10">
        <v>0.76635043989853491</v>
      </c>
      <c r="I70" s="10">
        <v>0.25921478889005689</v>
      </c>
      <c r="J70" s="10">
        <v>5.5904491890748649E-2</v>
      </c>
      <c r="K70" s="10">
        <v>8.919555742970478E-2</v>
      </c>
      <c r="L70" s="10">
        <v>0.34858456214198613</v>
      </c>
      <c r="M70" s="10">
        <v>0.34709271543013404</v>
      </c>
      <c r="N70" s="10">
        <v>0.26478958204481834</v>
      </c>
      <c r="O70" s="10">
        <v>0.40331655836009428</v>
      </c>
      <c r="P70" s="10">
        <v>0.34094585449425818</v>
      </c>
      <c r="Q70" s="10">
        <v>26.065317153900001</v>
      </c>
      <c r="R70" s="10">
        <v>49.0388752864</v>
      </c>
      <c r="S70" s="10">
        <v>37.690615727400001</v>
      </c>
      <c r="T70" s="10">
        <v>53.936251420200001</v>
      </c>
      <c r="U70" s="10">
        <v>65.361257699800007</v>
      </c>
      <c r="V70" s="10">
        <v>39.167379819399997</v>
      </c>
      <c r="W70" s="10">
        <v>28.173979679999999</v>
      </c>
      <c r="X70" s="10">
        <v>-26.0461928</v>
      </c>
    </row>
    <row r="71" spans="1:24" x14ac:dyDescent="0.45">
      <c r="A71">
        <v>79700013</v>
      </c>
      <c r="B71" t="s">
        <v>22</v>
      </c>
      <c r="D71">
        <v>1</v>
      </c>
      <c r="E71" s="10">
        <v>0.46631860303082884</v>
      </c>
      <c r="F71" s="10">
        <v>2.2540112043475193E-2</v>
      </c>
      <c r="G71" s="10">
        <v>0.79422659060215783</v>
      </c>
      <c r="H71" s="10">
        <v>0.1562889951588802</v>
      </c>
      <c r="I71" s="10">
        <v>0.11480805252265135</v>
      </c>
      <c r="J71" s="10">
        <v>2.1851804543733037E-2</v>
      </c>
      <c r="K71" s="10">
        <v>7.3619939537820631E-2</v>
      </c>
      <c r="L71" s="10">
        <v>0.50915716523075927</v>
      </c>
      <c r="M71" s="10">
        <v>0.52028061549739435</v>
      </c>
      <c r="N71" s="10">
        <v>0.4492303596052391</v>
      </c>
      <c r="O71" s="10">
        <v>0.59191361434123413</v>
      </c>
      <c r="P71" s="10">
        <v>0.51764543866865675</v>
      </c>
      <c r="Q71" s="10">
        <v>28.290718714400001</v>
      </c>
      <c r="R71" s="10">
        <v>49.8739743135</v>
      </c>
      <c r="S71" s="10">
        <v>38.810158398699997</v>
      </c>
      <c r="T71" s="10">
        <v>54.673029529799997</v>
      </c>
      <c r="U71" s="10">
        <v>65.991989524999994</v>
      </c>
      <c r="V71" s="10">
        <v>40.020718710799997</v>
      </c>
      <c r="W71" s="10">
        <v>28.195881079999999</v>
      </c>
      <c r="X71" s="10">
        <v>-26.060317919999999</v>
      </c>
    </row>
    <row r="72" spans="1:24" x14ac:dyDescent="0.45">
      <c r="A72">
        <v>79700014</v>
      </c>
      <c r="B72" t="s">
        <v>22</v>
      </c>
      <c r="D72">
        <v>1</v>
      </c>
      <c r="E72" s="10">
        <v>0.89559902848677797</v>
      </c>
      <c r="F72" s="10">
        <v>3.0922564928919524E-2</v>
      </c>
      <c r="G72" s="10">
        <v>0.73113415236428347</v>
      </c>
      <c r="H72" s="10">
        <v>1.0179896778192565E-2</v>
      </c>
      <c r="I72" s="10">
        <v>6.3043480587432865E-2</v>
      </c>
      <c r="J72" s="10">
        <v>0.12466067378834246</v>
      </c>
      <c r="K72" s="10">
        <v>0.25703629458728589</v>
      </c>
      <c r="L72" s="10">
        <v>0.23875082922931531</v>
      </c>
      <c r="M72" s="10">
        <v>0.25712733582501235</v>
      </c>
      <c r="N72" s="10">
        <v>0.19465352005150829</v>
      </c>
      <c r="O72" s="10">
        <v>0.27081521711188217</v>
      </c>
      <c r="P72" s="10">
        <v>0.24033672555442953</v>
      </c>
      <c r="Q72" s="10">
        <v>33.938182449300001</v>
      </c>
      <c r="R72" s="10">
        <v>51.548003006000002</v>
      </c>
      <c r="S72" s="10">
        <v>39.656664657599997</v>
      </c>
      <c r="T72" s="10">
        <v>56.468789672900002</v>
      </c>
      <c r="U72" s="10">
        <v>68.212961578399998</v>
      </c>
      <c r="V72" s="10">
        <v>41.853598403900001</v>
      </c>
      <c r="W72" s="10">
        <v>28.217502440000001</v>
      </c>
      <c r="X72" s="10">
        <v>-26.02458919</v>
      </c>
    </row>
    <row r="73" spans="1:24" x14ac:dyDescent="0.45">
      <c r="A73">
        <v>79700015</v>
      </c>
      <c r="B73" t="s">
        <v>22</v>
      </c>
      <c r="D73">
        <v>1</v>
      </c>
      <c r="E73" s="10">
        <v>0.69700012999151739</v>
      </c>
      <c r="F73" s="10">
        <v>4.0179723526112952E-2</v>
      </c>
      <c r="G73" s="10">
        <v>0.79067658971826427</v>
      </c>
      <c r="H73" s="10">
        <v>1.4037597300553361E-2</v>
      </c>
      <c r="I73" s="10">
        <v>2.5614507594918373E-3</v>
      </c>
      <c r="J73" s="10">
        <v>1.9069645591632413E-2</v>
      </c>
      <c r="K73" s="10">
        <v>4.8345551269097453E-2</v>
      </c>
      <c r="L73" s="10">
        <v>0.64299904411297193</v>
      </c>
      <c r="M73" s="10">
        <v>0.72685139146265543</v>
      </c>
      <c r="N73" s="10">
        <v>0.66157812524504467</v>
      </c>
      <c r="O73" s="10">
        <v>0.7401043248169562</v>
      </c>
      <c r="P73" s="10">
        <v>0.69288322140940706</v>
      </c>
      <c r="Q73" s="10">
        <v>26.383928299000001</v>
      </c>
      <c r="R73" s="10">
        <v>51.726569137600002</v>
      </c>
      <c r="S73" s="10">
        <v>40.903441238399999</v>
      </c>
      <c r="T73" s="10">
        <v>56.262647857700003</v>
      </c>
      <c r="U73" s="10">
        <v>68.155087280299995</v>
      </c>
      <c r="V73" s="10">
        <v>41.585098495499999</v>
      </c>
      <c r="W73" s="10">
        <v>28.2435467</v>
      </c>
      <c r="X73" s="10">
        <v>-26.074861519999999</v>
      </c>
    </row>
    <row r="74" spans="1:24" x14ac:dyDescent="0.45">
      <c r="A74">
        <v>79700019</v>
      </c>
      <c r="B74" t="s">
        <v>22</v>
      </c>
      <c r="D74">
        <v>1</v>
      </c>
      <c r="E74" s="10">
        <v>0.61257448133995041</v>
      </c>
      <c r="F74" s="10">
        <v>3.432395506850857E-2</v>
      </c>
      <c r="G74" s="10">
        <v>0.74627627415092779</v>
      </c>
      <c r="H74" s="10">
        <v>4.7486805183773663E-2</v>
      </c>
      <c r="I74" s="10">
        <v>3.9014998779056949E-3</v>
      </c>
      <c r="J74" s="10">
        <v>1.8089877648244119E-2</v>
      </c>
      <c r="K74" s="10">
        <v>3.5200119947848378E-2</v>
      </c>
      <c r="L74" s="10">
        <v>0.73110318803146868</v>
      </c>
      <c r="M74" s="10">
        <v>0.75949971087218549</v>
      </c>
      <c r="N74" s="10">
        <v>0.72520366461088437</v>
      </c>
      <c r="O74" s="10">
        <v>0.76816884969042942</v>
      </c>
      <c r="P74" s="10">
        <v>0.74599385330124202</v>
      </c>
      <c r="Q74" s="10">
        <v>25.070605595899998</v>
      </c>
      <c r="R74" s="10">
        <v>45.626926422099999</v>
      </c>
      <c r="S74" s="10">
        <v>37.736808776899998</v>
      </c>
      <c r="T74" s="10">
        <v>49.253128051799997</v>
      </c>
      <c r="U74" s="10">
        <v>57.975177764900003</v>
      </c>
      <c r="V74" s="10">
        <v>37.542587280299998</v>
      </c>
      <c r="W74" s="10">
        <v>28.141523070000002</v>
      </c>
      <c r="X74" s="10">
        <v>-26.144962660000001</v>
      </c>
    </row>
    <row r="75" spans="1:24" x14ac:dyDescent="0.45">
      <c r="A75">
        <v>79700020</v>
      </c>
      <c r="B75" t="s">
        <v>22</v>
      </c>
      <c r="D75">
        <v>1</v>
      </c>
      <c r="E75" s="10">
        <v>0.70533578964632648</v>
      </c>
      <c r="F75" s="10">
        <v>2.4679637868062952E-2</v>
      </c>
      <c r="G75" s="10">
        <v>0.81607172656569582</v>
      </c>
      <c r="H75" s="10">
        <v>6.1776190377131716E-2</v>
      </c>
      <c r="I75" s="10">
        <v>4.2315914711049283E-3</v>
      </c>
      <c r="J75" s="10">
        <v>1.5708415262688975E-2</v>
      </c>
      <c r="K75" s="10">
        <v>2.0908731026058214E-2</v>
      </c>
      <c r="L75" s="10">
        <v>0.6805876185191243</v>
      </c>
      <c r="M75" s="10">
        <v>0.71047704876748941</v>
      </c>
      <c r="N75" s="10">
        <v>0.69614099951257624</v>
      </c>
      <c r="O75" s="10">
        <v>0.71785756893513342</v>
      </c>
      <c r="P75" s="10">
        <v>0.70126580893358081</v>
      </c>
      <c r="Q75" s="10">
        <v>24.387571811699999</v>
      </c>
      <c r="R75" s="10">
        <v>46.794325510699998</v>
      </c>
      <c r="S75" s="10">
        <v>40.947956530299997</v>
      </c>
      <c r="T75" s="10">
        <v>48.650190035500003</v>
      </c>
      <c r="U75" s="10">
        <v>56.761620521499999</v>
      </c>
      <c r="V75" s="10">
        <v>40.817533620200003</v>
      </c>
      <c r="W75" s="10">
        <v>28.13543898</v>
      </c>
      <c r="X75" s="10">
        <v>-26.181309760000001</v>
      </c>
    </row>
    <row r="76" spans="1:24" x14ac:dyDescent="0.45">
      <c r="A76">
        <v>79700021</v>
      </c>
      <c r="B76" t="s">
        <v>22</v>
      </c>
      <c r="D76">
        <v>1</v>
      </c>
      <c r="E76" s="10">
        <v>0.60688948440253221</v>
      </c>
      <c r="F76" s="10">
        <v>0.30333445014347998</v>
      </c>
      <c r="G76" s="10">
        <v>0.87338038373010896</v>
      </c>
      <c r="H76" s="10">
        <v>6.5779120752796447E-2</v>
      </c>
      <c r="I76" s="10">
        <v>2.9228233653961388E-2</v>
      </c>
      <c r="J76" s="10">
        <v>3.4001740647616845E-2</v>
      </c>
      <c r="K76" s="10">
        <v>9.961491046300737E-3</v>
      </c>
      <c r="L76" s="10">
        <v>0.47458116900372876</v>
      </c>
      <c r="M76" s="10">
        <v>0.56396536565764599</v>
      </c>
      <c r="N76" s="10">
        <v>0.51275984156251331</v>
      </c>
      <c r="O76" s="10">
        <v>0.57131836739019382</v>
      </c>
      <c r="P76" s="10">
        <v>0.53065618590352037</v>
      </c>
      <c r="Q76" s="10">
        <v>25.611935615499998</v>
      </c>
      <c r="R76" s="10">
        <v>49.7666608121</v>
      </c>
      <c r="S76" s="10">
        <v>42.117206817000003</v>
      </c>
      <c r="T76" s="10">
        <v>53.208881702799999</v>
      </c>
      <c r="U76" s="10">
        <v>62.2037684664</v>
      </c>
      <c r="V76" s="10">
        <v>41.536786586700003</v>
      </c>
      <c r="W76" s="10">
        <v>28.17578129</v>
      </c>
      <c r="X76" s="10">
        <v>-26.185505930000001</v>
      </c>
    </row>
    <row r="77" spans="1:24" x14ac:dyDescent="0.45">
      <c r="A77">
        <v>79700022</v>
      </c>
      <c r="B77" t="s">
        <v>22</v>
      </c>
      <c r="D77">
        <v>1</v>
      </c>
      <c r="E77" s="10">
        <v>0.80849568578200026</v>
      </c>
      <c r="F77" s="10">
        <v>1.9674244782246872E-2</v>
      </c>
      <c r="G77" s="10">
        <v>0.80257267271374921</v>
      </c>
      <c r="H77" s="10">
        <v>0.48002194045124957</v>
      </c>
      <c r="I77" s="10">
        <v>1.5496353166676585E-2</v>
      </c>
      <c r="J77" s="10">
        <v>1.5433361816952953E-2</v>
      </c>
      <c r="K77" s="10">
        <v>3.0343132843166851E-2</v>
      </c>
      <c r="L77" s="10">
        <v>0.43573086459153382</v>
      </c>
      <c r="M77" s="10">
        <v>0.50529520171888043</v>
      </c>
      <c r="N77" s="10">
        <v>0.46950464479813775</v>
      </c>
      <c r="O77" s="10">
        <v>0.53603950951323032</v>
      </c>
      <c r="P77" s="10">
        <v>0.48664255515544552</v>
      </c>
      <c r="Q77" s="10">
        <v>27.909704208400001</v>
      </c>
      <c r="R77" s="10">
        <v>59.792551070000002</v>
      </c>
      <c r="S77" s="10">
        <v>48.687825657799998</v>
      </c>
      <c r="T77" s="10">
        <v>63.781430053699999</v>
      </c>
      <c r="U77" s="10">
        <v>77.837749774599999</v>
      </c>
      <c r="V77" s="10">
        <v>48.863201434799997</v>
      </c>
      <c r="W77" s="10">
        <v>28.257627809999999</v>
      </c>
      <c r="X77" s="10">
        <v>-26.193478089999999</v>
      </c>
    </row>
    <row r="78" spans="1:24" x14ac:dyDescent="0.45">
      <c r="A78">
        <v>79700023</v>
      </c>
      <c r="B78" t="s">
        <v>22</v>
      </c>
      <c r="D78">
        <v>1</v>
      </c>
      <c r="E78" s="10">
        <v>0.62577392789305586</v>
      </c>
      <c r="F78" s="10">
        <v>6.0195659998862373E-2</v>
      </c>
      <c r="G78" s="10">
        <v>0.81245387572779781</v>
      </c>
      <c r="H78" s="10">
        <v>8.2661252913686173E-2</v>
      </c>
      <c r="I78" s="10">
        <v>1.15448161215499E-2</v>
      </c>
      <c r="J78" s="10">
        <v>9.3392083509042829E-3</v>
      </c>
      <c r="K78" s="10">
        <v>4.4039383618411754E-2</v>
      </c>
      <c r="L78" s="10">
        <v>0.54767321867568464</v>
      </c>
      <c r="M78" s="10">
        <v>0.74153958013739785</v>
      </c>
      <c r="N78" s="10">
        <v>0.58607817590584232</v>
      </c>
      <c r="O78" s="10">
        <v>0.74392884575991791</v>
      </c>
      <c r="P78" s="10">
        <v>0.65480495511971071</v>
      </c>
      <c r="Q78" s="10">
        <v>27.451887130700001</v>
      </c>
      <c r="R78" s="10">
        <v>53.453191757200003</v>
      </c>
      <c r="S78" s="10">
        <v>43.492374420200001</v>
      </c>
      <c r="T78" s="10">
        <v>57.354358673100002</v>
      </c>
      <c r="U78" s="10">
        <v>70.889751434299995</v>
      </c>
      <c r="V78" s="10">
        <v>42.076282501199998</v>
      </c>
      <c r="W78" s="10">
        <v>28.27518383</v>
      </c>
      <c r="X78" s="10">
        <v>-26.133691280000001</v>
      </c>
    </row>
    <row r="79" spans="1:24" x14ac:dyDescent="0.45">
      <c r="A79">
        <v>79700024</v>
      </c>
      <c r="B79" t="s">
        <v>22</v>
      </c>
      <c r="D79">
        <v>1</v>
      </c>
      <c r="E79" s="10">
        <v>0.59240621028847917</v>
      </c>
      <c r="F79" s="10">
        <v>0.20546256250925571</v>
      </c>
      <c r="G79" s="10">
        <v>0.78704110518187398</v>
      </c>
      <c r="H79" s="10">
        <v>1.335993010424481E-2</v>
      </c>
      <c r="I79" s="10">
        <v>1.7390115107148555E-2</v>
      </c>
      <c r="J79" s="10">
        <v>6.7435147162073286E-3</v>
      </c>
      <c r="K79" s="10">
        <v>8.6197659394572607E-2</v>
      </c>
      <c r="L79" s="10">
        <v>0.69246413489300551</v>
      </c>
      <c r="M79" s="10">
        <v>0.9387537337069678</v>
      </c>
      <c r="N79" s="10">
        <v>0.683446253927948</v>
      </c>
      <c r="O79" s="10">
        <v>0.89264043160283968</v>
      </c>
      <c r="P79" s="10">
        <v>0.80182613853269025</v>
      </c>
      <c r="Q79" s="10">
        <v>31.364493283400002</v>
      </c>
      <c r="R79" s="10">
        <v>56.784919500400001</v>
      </c>
      <c r="S79" s="10">
        <v>46.499076287000001</v>
      </c>
      <c r="T79" s="10">
        <v>60.042699058899998</v>
      </c>
      <c r="U79" s="10">
        <v>76.074783682800003</v>
      </c>
      <c r="V79" s="10">
        <v>44.523115396500003</v>
      </c>
      <c r="W79" s="10">
        <v>28.343578539999999</v>
      </c>
      <c r="X79" s="10">
        <v>-26.129561219999999</v>
      </c>
    </row>
    <row r="80" spans="1:24" x14ac:dyDescent="0.45">
      <c r="A80">
        <v>79700026</v>
      </c>
      <c r="B80" t="s">
        <v>22</v>
      </c>
      <c r="D80">
        <v>1</v>
      </c>
      <c r="E80" s="10">
        <v>0.60822602707188034</v>
      </c>
      <c r="F80" s="10">
        <v>1</v>
      </c>
      <c r="G80" s="10">
        <v>0.73812304622652558</v>
      </c>
      <c r="H80" s="10">
        <v>2.5562185641846385E-3</v>
      </c>
      <c r="I80" s="10">
        <v>0.22273410664770127</v>
      </c>
      <c r="J80" s="10">
        <v>5.3966370537228893E-2</v>
      </c>
      <c r="K80" s="10">
        <v>0.39017272503245432</v>
      </c>
      <c r="L80" s="10">
        <v>0.44874818775601677</v>
      </c>
      <c r="M80" s="10">
        <v>0.71660016021998241</v>
      </c>
      <c r="N80" s="10">
        <v>0.57276227116968714</v>
      </c>
      <c r="O80" s="10">
        <v>0.64823931722259109</v>
      </c>
      <c r="P80" s="10">
        <v>0.5965874840920693</v>
      </c>
      <c r="Q80" s="10">
        <v>68.185625076299999</v>
      </c>
      <c r="R80" s="10">
        <v>62.2966076079</v>
      </c>
      <c r="S80" s="10">
        <v>48.276536305699999</v>
      </c>
      <c r="T80" s="10">
        <v>59.458946773000001</v>
      </c>
      <c r="U80" s="10">
        <v>93.517668224499999</v>
      </c>
      <c r="V80" s="10">
        <v>47.933280399899999</v>
      </c>
      <c r="W80" s="10">
        <v>28.446967669999999</v>
      </c>
      <c r="X80" s="10">
        <v>-26.106992259999998</v>
      </c>
    </row>
    <row r="81" spans="1:24" x14ac:dyDescent="0.45">
      <c r="A81">
        <v>79700027</v>
      </c>
      <c r="B81" t="s">
        <v>22</v>
      </c>
      <c r="D81">
        <v>1</v>
      </c>
      <c r="E81" s="10">
        <v>0.627435019176942</v>
      </c>
      <c r="F81" s="10">
        <v>8.0347557034343153E-2</v>
      </c>
      <c r="G81" s="10">
        <v>0.8087588793123428</v>
      </c>
      <c r="H81" s="10">
        <v>4.3202060040362445E-3</v>
      </c>
      <c r="I81" s="10">
        <v>1.3293435716788173E-3</v>
      </c>
      <c r="J81" s="10">
        <v>1.0092844729860608E-2</v>
      </c>
      <c r="K81" s="10">
        <v>3.1653802948984948E-2</v>
      </c>
      <c r="L81" s="10">
        <v>0.74591977030005097</v>
      </c>
      <c r="M81" s="10">
        <v>0.87967597585714541</v>
      </c>
      <c r="N81" s="10">
        <v>0.80052321610878829</v>
      </c>
      <c r="O81" s="10">
        <v>0.85914451399343172</v>
      </c>
      <c r="P81" s="10">
        <v>0.8213158690648541</v>
      </c>
      <c r="Q81" s="10">
        <v>28.7492607117</v>
      </c>
      <c r="R81" s="10">
        <v>56.364990234399997</v>
      </c>
      <c r="S81" s="10">
        <v>45.715717315699997</v>
      </c>
      <c r="T81" s="10">
        <v>59.151378631599997</v>
      </c>
      <c r="U81" s="10">
        <v>76.4339675903</v>
      </c>
      <c r="V81" s="10">
        <v>44.158889770499997</v>
      </c>
      <c r="W81" s="10">
        <v>28.332343609999999</v>
      </c>
      <c r="X81" s="10">
        <v>-26.159253159999999</v>
      </c>
    </row>
    <row r="82" spans="1:24" x14ac:dyDescent="0.45">
      <c r="A82">
        <v>79700028</v>
      </c>
      <c r="B82" t="s">
        <v>22</v>
      </c>
      <c r="D82">
        <v>1</v>
      </c>
      <c r="E82" s="10">
        <v>0.68512472413141612</v>
      </c>
      <c r="F82" s="10">
        <v>4.5705380993359787E-2</v>
      </c>
      <c r="G82" s="10">
        <v>0.80202978700402017</v>
      </c>
      <c r="H82" s="10">
        <v>2.223863646569809E-2</v>
      </c>
      <c r="I82" s="10">
        <v>3.8129008317646352E-3</v>
      </c>
      <c r="J82" s="10">
        <v>1.5493061926479802E-2</v>
      </c>
      <c r="K82" s="10">
        <v>2.3859231049499025E-2</v>
      </c>
      <c r="L82" s="10">
        <v>0.5841362242490673</v>
      </c>
      <c r="M82" s="10">
        <v>0.75028337153597235</v>
      </c>
      <c r="N82" s="10">
        <v>0.68401607655898422</v>
      </c>
      <c r="O82" s="10">
        <v>0.70991110847414562</v>
      </c>
      <c r="P82" s="10">
        <v>0.68208669520454235</v>
      </c>
      <c r="Q82" s="10">
        <v>28.839007377600002</v>
      </c>
      <c r="R82" s="10">
        <v>57.064518190800001</v>
      </c>
      <c r="S82" s="10">
        <v>45.8981277898</v>
      </c>
      <c r="T82" s="10">
        <v>60.809073178299997</v>
      </c>
      <c r="U82" s="10">
        <v>76.203130326199997</v>
      </c>
      <c r="V82" s="10">
        <v>45.347741756799998</v>
      </c>
      <c r="W82" s="10">
        <v>28.295229030000002</v>
      </c>
      <c r="X82" s="10">
        <v>-26.179293220000002</v>
      </c>
    </row>
    <row r="83" spans="1:24" x14ac:dyDescent="0.45">
      <c r="A83">
        <v>79700029</v>
      </c>
      <c r="B83" t="s">
        <v>22</v>
      </c>
      <c r="D83">
        <v>1</v>
      </c>
      <c r="E83" s="10">
        <v>0.64896033301200318</v>
      </c>
      <c r="F83" s="10">
        <v>0.38733051266622021</v>
      </c>
      <c r="G83" s="10">
        <v>0.80963443694270554</v>
      </c>
      <c r="H83" s="10">
        <v>0.51441643914656154</v>
      </c>
      <c r="I83" s="10">
        <v>1.8876449885823841E-2</v>
      </c>
      <c r="J83" s="10">
        <v>4.3041298383284389E-2</v>
      </c>
      <c r="K83" s="10">
        <v>4.4583504918833894E-2</v>
      </c>
      <c r="L83" s="10">
        <v>0.31397244885017989</v>
      </c>
      <c r="M83" s="10">
        <v>0.46575579093904573</v>
      </c>
      <c r="N83" s="10">
        <v>0.38832879083800825</v>
      </c>
      <c r="O83" s="10">
        <v>0.53547711471831849</v>
      </c>
      <c r="P83" s="10">
        <v>0.42588353633638809</v>
      </c>
      <c r="Q83" s="10">
        <v>39.7678580814</v>
      </c>
      <c r="R83" s="10">
        <v>62.623177634299999</v>
      </c>
      <c r="S83" s="10">
        <v>49.6005410088</v>
      </c>
      <c r="T83" s="10">
        <v>67.147989061100006</v>
      </c>
      <c r="U83" s="10">
        <v>83.687751346200002</v>
      </c>
      <c r="V83" s="10">
        <v>50.056428909300003</v>
      </c>
      <c r="W83" s="10">
        <v>28.303073309999998</v>
      </c>
      <c r="X83" s="10">
        <v>-26.214414359999999</v>
      </c>
    </row>
    <row r="84" spans="1:24" x14ac:dyDescent="0.45">
      <c r="A84">
        <v>79700030</v>
      </c>
      <c r="B84" t="s">
        <v>22</v>
      </c>
      <c r="D84">
        <v>1</v>
      </c>
      <c r="E84" s="10">
        <v>0.59884362857961582</v>
      </c>
      <c r="F84" s="10">
        <v>0.45759442721079807</v>
      </c>
      <c r="G84" s="10">
        <v>0.80049355767201325</v>
      </c>
      <c r="H84" s="10">
        <v>7.5448036423112291E-2</v>
      </c>
      <c r="I84" s="10">
        <v>0.25529213392111205</v>
      </c>
      <c r="J84" s="10">
        <v>7.9086299530075593E-2</v>
      </c>
      <c r="K84" s="10">
        <v>3.8165516362732299E-2</v>
      </c>
      <c r="L84" s="10">
        <v>0.34637739529777084</v>
      </c>
      <c r="M84" s="10">
        <v>0.52647213822401462</v>
      </c>
      <c r="N84" s="10">
        <v>0.4054307260236123</v>
      </c>
      <c r="O84" s="10">
        <v>0.56272179491469332</v>
      </c>
      <c r="P84" s="10">
        <v>0.46025051361502278</v>
      </c>
      <c r="Q84" s="10">
        <v>44.920909881599997</v>
      </c>
      <c r="R84" s="10">
        <v>63.732286241300002</v>
      </c>
      <c r="S84" s="10">
        <v>50.222431606699999</v>
      </c>
      <c r="T84" s="10">
        <v>68.428089565700006</v>
      </c>
      <c r="U84" s="10">
        <v>85.251925998299996</v>
      </c>
      <c r="V84" s="10">
        <v>51.026699066200003</v>
      </c>
      <c r="W84" s="10">
        <v>28.310037489999999</v>
      </c>
      <c r="X84" s="10">
        <v>-26.220825359999999</v>
      </c>
    </row>
    <row r="85" spans="1:24" x14ac:dyDescent="0.45">
      <c r="A85">
        <v>79700031</v>
      </c>
      <c r="B85" t="s">
        <v>22</v>
      </c>
      <c r="D85">
        <v>1</v>
      </c>
      <c r="E85" s="10">
        <v>0.1121226182752698</v>
      </c>
      <c r="F85" s="10">
        <v>0.15235853165562732</v>
      </c>
      <c r="G85" s="10">
        <v>0.75298900292149584</v>
      </c>
      <c r="H85" s="10">
        <v>3.2931436387492942E-2</v>
      </c>
      <c r="I85" s="10">
        <v>0.11584963881841605</v>
      </c>
      <c r="J85" s="10">
        <v>6.5712422661454517E-3</v>
      </c>
      <c r="K85" s="10">
        <v>3.6123492510973541E-2</v>
      </c>
      <c r="L85" s="10">
        <v>0.40457764102896399</v>
      </c>
      <c r="M85" s="10">
        <v>0.74435434032670333</v>
      </c>
      <c r="N85" s="10">
        <v>0.50801298903883907</v>
      </c>
      <c r="O85" s="10">
        <v>0.75501005379086106</v>
      </c>
      <c r="P85" s="10">
        <v>0.60298875604634183</v>
      </c>
      <c r="Q85" s="10">
        <v>34.069382258799997</v>
      </c>
      <c r="R85" s="10">
        <v>72.398742675799994</v>
      </c>
      <c r="S85" s="10">
        <v>54.640224456799999</v>
      </c>
      <c r="T85" s="10">
        <v>80.594688415500002</v>
      </c>
      <c r="U85" s="10">
        <v>95.312644958500002</v>
      </c>
      <c r="V85" s="10">
        <v>59.047405242899998</v>
      </c>
      <c r="W85" s="10">
        <v>28.30881853</v>
      </c>
      <c r="X85" s="10">
        <v>-26.26488677</v>
      </c>
    </row>
    <row r="86" spans="1:24" x14ac:dyDescent="0.45">
      <c r="A86">
        <v>79700032</v>
      </c>
      <c r="B86" t="s">
        <v>22</v>
      </c>
      <c r="D86">
        <v>1</v>
      </c>
      <c r="E86" s="10">
        <v>0.36784193430003337</v>
      </c>
      <c r="F86" s="10">
        <v>6.2921595333695596E-2</v>
      </c>
      <c r="G86" s="10">
        <v>0.76958002955214089</v>
      </c>
      <c r="H86" s="10">
        <v>0.26494402284768348</v>
      </c>
      <c r="I86" s="10">
        <v>4.0137729112573331E-3</v>
      </c>
      <c r="J86" s="10">
        <v>6.3418907969868968E-3</v>
      </c>
      <c r="K86" s="10">
        <v>2.1881083166309417E-2</v>
      </c>
      <c r="L86" s="10">
        <v>0.43867620449167849</v>
      </c>
      <c r="M86" s="10">
        <v>0.6833487596637845</v>
      </c>
      <c r="N86" s="10">
        <v>0.50565556077293772</v>
      </c>
      <c r="O86" s="10">
        <v>0.6877746813893254</v>
      </c>
      <c r="P86" s="10">
        <v>0.57886380157943151</v>
      </c>
      <c r="Q86" s="10">
        <v>39.067642688799999</v>
      </c>
      <c r="R86" s="10">
        <v>61.973094940199999</v>
      </c>
      <c r="S86" s="10">
        <v>49.3783493042</v>
      </c>
      <c r="T86" s="10">
        <v>66.509498596200004</v>
      </c>
      <c r="U86" s="10">
        <v>82.540435790999993</v>
      </c>
      <c r="V86" s="10">
        <v>49.464096069299998</v>
      </c>
      <c r="W86" s="10">
        <v>28.26460969</v>
      </c>
      <c r="X86" s="10">
        <v>-26.230504079999999</v>
      </c>
    </row>
    <row r="87" spans="1:24" x14ac:dyDescent="0.45">
      <c r="A87">
        <v>79700033</v>
      </c>
      <c r="B87" t="s">
        <v>22</v>
      </c>
      <c r="D87">
        <v>1</v>
      </c>
      <c r="E87" s="10">
        <v>0.48395584082276299</v>
      </c>
      <c r="F87" s="10">
        <v>0.2839367601571185</v>
      </c>
      <c r="G87" s="10">
        <v>0.81731703874316841</v>
      </c>
      <c r="H87" s="10">
        <v>0.34230733211992909</v>
      </c>
      <c r="I87" s="10">
        <v>0.39697951429161643</v>
      </c>
      <c r="J87" s="10">
        <v>2.3757759156811026E-2</v>
      </c>
      <c r="K87" s="10">
        <v>1.8040704187618238E-2</v>
      </c>
      <c r="L87" s="10">
        <v>0.38574375995870114</v>
      </c>
      <c r="M87" s="10">
        <v>0.54253370347781504</v>
      </c>
      <c r="N87" s="10">
        <v>0.4411690459428016</v>
      </c>
      <c r="O87" s="10">
        <v>0.57557056132511153</v>
      </c>
      <c r="P87" s="10">
        <v>0.48625426767610735</v>
      </c>
      <c r="Q87" s="10">
        <v>31.5833161672</v>
      </c>
      <c r="R87" s="10">
        <v>57.198170261999998</v>
      </c>
      <c r="S87" s="10">
        <v>47.382084077400002</v>
      </c>
      <c r="T87" s="10">
        <v>61.0458948689</v>
      </c>
      <c r="U87" s="10">
        <v>72.864367208199994</v>
      </c>
      <c r="V87" s="10">
        <v>47.500339754199999</v>
      </c>
      <c r="W87" s="10">
        <v>28.217284289999998</v>
      </c>
      <c r="X87" s="10">
        <v>-26.192354080000001</v>
      </c>
    </row>
    <row r="88" spans="1:24" x14ac:dyDescent="0.45">
      <c r="A88">
        <v>79700037</v>
      </c>
      <c r="B88" t="s">
        <v>22</v>
      </c>
      <c r="D88">
        <v>1</v>
      </c>
      <c r="E88" s="10">
        <v>0.56656931449946735</v>
      </c>
      <c r="F88" s="10">
        <v>1.8519290848693352E-2</v>
      </c>
      <c r="G88" s="10">
        <v>0.71680503861447231</v>
      </c>
      <c r="H88" s="10">
        <v>5.6273505532762561E-3</v>
      </c>
      <c r="I88" s="10">
        <v>4.2851548455528172E-3</v>
      </c>
      <c r="J88" s="10">
        <v>1.6422357351112547E-2</v>
      </c>
      <c r="K88" s="10">
        <v>1.9291867131367789E-2</v>
      </c>
      <c r="L88" s="10">
        <v>0.56272846777025254</v>
      </c>
      <c r="M88" s="10">
        <v>0.7067785539742184</v>
      </c>
      <c r="N88" s="10">
        <v>0.59510930004649254</v>
      </c>
      <c r="O88" s="10">
        <v>0.68268194667589532</v>
      </c>
      <c r="P88" s="10">
        <v>0.63682456711671476</v>
      </c>
      <c r="Q88" s="10">
        <v>27.3702818553</v>
      </c>
      <c r="R88" s="10">
        <v>56.513210296600001</v>
      </c>
      <c r="S88" s="10">
        <v>47.3774452209</v>
      </c>
      <c r="T88" s="10">
        <v>62.330398559599999</v>
      </c>
      <c r="U88" s="10">
        <v>70.400520324699997</v>
      </c>
      <c r="V88" s="10">
        <v>45.944480896000002</v>
      </c>
      <c r="W88" s="10">
        <v>28.121515559999999</v>
      </c>
      <c r="X88" s="10">
        <v>-26.269741369999998</v>
      </c>
    </row>
    <row r="89" spans="1:24" x14ac:dyDescent="0.45">
      <c r="A89">
        <v>79700038</v>
      </c>
      <c r="B89" t="s">
        <v>22</v>
      </c>
      <c r="D89">
        <v>1</v>
      </c>
      <c r="E89" s="10">
        <v>0.83134082570419898</v>
      </c>
      <c r="F89" s="10">
        <v>4.4223042668648245E-2</v>
      </c>
      <c r="G89" s="10">
        <v>0.68780013354038494</v>
      </c>
      <c r="H89" s="10">
        <v>2.7451722772166599E-3</v>
      </c>
      <c r="I89" s="10">
        <v>2.8686822907945538E-3</v>
      </c>
      <c r="J89" s="10">
        <v>1.7208387131694879E-2</v>
      </c>
      <c r="K89" s="10">
        <v>3.3366453415816837E-2</v>
      </c>
      <c r="L89" s="10">
        <v>0.68542540472645275</v>
      </c>
      <c r="M89" s="10">
        <v>0.72257722488022258</v>
      </c>
      <c r="N89" s="10">
        <v>0.72074658914858436</v>
      </c>
      <c r="O89" s="10">
        <v>0.78589548041151547</v>
      </c>
      <c r="P89" s="10">
        <v>0.72866117479169379</v>
      </c>
      <c r="Q89" s="10">
        <v>25.7801914215</v>
      </c>
      <c r="R89" s="10">
        <v>60.418880462600001</v>
      </c>
      <c r="S89" s="10">
        <v>51.503246307399998</v>
      </c>
      <c r="T89" s="10">
        <v>63.599937439000001</v>
      </c>
      <c r="U89" s="10">
        <v>74.758735656699997</v>
      </c>
      <c r="V89" s="10">
        <v>51.813606262199997</v>
      </c>
      <c r="W89" s="10">
        <v>28.098459640000002</v>
      </c>
      <c r="X89" s="10">
        <v>-26.32747891</v>
      </c>
    </row>
    <row r="90" spans="1:24" x14ac:dyDescent="0.45">
      <c r="A90">
        <v>79700039</v>
      </c>
      <c r="B90" t="s">
        <v>22</v>
      </c>
      <c r="D90">
        <v>1</v>
      </c>
      <c r="E90" s="10">
        <v>0.49088450783193049</v>
      </c>
      <c r="F90" s="10">
        <v>4.8280405233728077E-2</v>
      </c>
      <c r="G90" s="10">
        <v>0.70521261315206918</v>
      </c>
      <c r="H90" s="10">
        <v>0.48529577164447296</v>
      </c>
      <c r="I90" s="10">
        <v>2.2819567604649055E-2</v>
      </c>
      <c r="J90" s="10">
        <v>8.9514076111712575E-3</v>
      </c>
      <c r="K90" s="10">
        <v>2.9017998941440012E-2</v>
      </c>
      <c r="L90" s="10">
        <v>0.44419352218416924</v>
      </c>
      <c r="M90" s="10">
        <v>0.61433777948628232</v>
      </c>
      <c r="N90" s="10">
        <v>0.45780754976126997</v>
      </c>
      <c r="O90" s="10">
        <v>0.56777195246384538</v>
      </c>
      <c r="P90" s="10">
        <v>0.52102770097389173</v>
      </c>
      <c r="Q90" s="10">
        <v>38.959950310799996</v>
      </c>
      <c r="R90" s="10">
        <v>60.668072974200001</v>
      </c>
      <c r="S90" s="10">
        <v>50.408199144400001</v>
      </c>
      <c r="T90" s="10">
        <v>66.689868329899994</v>
      </c>
      <c r="U90" s="10">
        <v>75.7442311163</v>
      </c>
      <c r="V90" s="10">
        <v>49.8299961588</v>
      </c>
      <c r="W90" s="10">
        <v>28.18965403</v>
      </c>
      <c r="X90" s="10">
        <v>-26.272793010000001</v>
      </c>
    </row>
    <row r="91" spans="1:24" x14ac:dyDescent="0.45">
      <c r="A91">
        <v>79700040</v>
      </c>
      <c r="B91" t="s">
        <v>22</v>
      </c>
      <c r="D91">
        <v>1</v>
      </c>
      <c r="E91" s="10">
        <v>0.12841702351284906</v>
      </c>
      <c r="F91" s="10">
        <v>8.9181185866207727E-2</v>
      </c>
      <c r="G91" s="10">
        <v>0.65549649623977824</v>
      </c>
      <c r="H91" s="10">
        <v>0.11342659910407944</v>
      </c>
      <c r="I91" s="10">
        <v>8.6849522959951575E-2</v>
      </c>
      <c r="J91" s="10">
        <v>1.1390394091875923E-2</v>
      </c>
      <c r="K91" s="10">
        <v>3.6361359674745845E-2</v>
      </c>
      <c r="L91" s="10">
        <v>0.41174300598476504</v>
      </c>
      <c r="M91" s="10">
        <v>0.85426618596974901</v>
      </c>
      <c r="N91" s="10">
        <v>0.69893156966124481</v>
      </c>
      <c r="O91" s="10">
        <v>0.70954932201669663</v>
      </c>
      <c r="P91" s="10">
        <v>0.6686225209081138</v>
      </c>
      <c r="Q91" s="10">
        <v>37.021384429900003</v>
      </c>
      <c r="R91" s="10">
        <v>62.8175852185</v>
      </c>
      <c r="S91" s="10">
        <v>51.8561624345</v>
      </c>
      <c r="T91" s="10">
        <v>68.974271547200004</v>
      </c>
      <c r="U91" s="10">
        <v>78.506727763599997</v>
      </c>
      <c r="V91" s="10">
        <v>51.933178810800001</v>
      </c>
      <c r="W91" s="10">
        <v>28.17759444</v>
      </c>
      <c r="X91" s="10">
        <v>-26.29756789</v>
      </c>
    </row>
    <row r="92" spans="1:24" x14ac:dyDescent="0.45">
      <c r="A92">
        <v>79700041</v>
      </c>
      <c r="B92" t="s">
        <v>22</v>
      </c>
      <c r="D92">
        <v>1</v>
      </c>
      <c r="E92" s="10">
        <v>0.74467496717095705</v>
      </c>
      <c r="F92" s="10">
        <v>7.5183579118129314E-3</v>
      </c>
      <c r="G92" s="10">
        <v>0.67905807271216156</v>
      </c>
      <c r="H92" s="10">
        <v>0.11703719204650649</v>
      </c>
      <c r="I92" s="10">
        <v>0.10857930675987983</v>
      </c>
      <c r="J92" s="10">
        <v>5.3877094660948859E-2</v>
      </c>
      <c r="K92" s="10">
        <v>1.8665788065836499E-2</v>
      </c>
      <c r="L92" s="10">
        <v>0.31947064876892045</v>
      </c>
      <c r="M92" s="10">
        <v>0.45996588832938912</v>
      </c>
      <c r="N92" s="10">
        <v>0.31690788048867929</v>
      </c>
      <c r="O92" s="10">
        <v>0.42662950395094051</v>
      </c>
      <c r="P92" s="10">
        <v>0.38074348038448236</v>
      </c>
      <c r="Q92" s="10">
        <v>38.738861084</v>
      </c>
      <c r="R92" s="10">
        <v>68.456927435699995</v>
      </c>
      <c r="S92" s="10">
        <v>55.728525434200002</v>
      </c>
      <c r="T92" s="10">
        <v>75.5240595681</v>
      </c>
      <c r="U92" s="10">
        <v>85.623610905199996</v>
      </c>
      <c r="V92" s="10">
        <v>56.951514244099997</v>
      </c>
      <c r="W92" s="10">
        <v>28.197276080000002</v>
      </c>
      <c r="X92" s="10">
        <v>-26.313742349999998</v>
      </c>
    </row>
    <row r="93" spans="1:24" x14ac:dyDescent="0.45">
      <c r="A93">
        <v>79700042</v>
      </c>
      <c r="B93" t="s">
        <v>22</v>
      </c>
      <c r="D93">
        <v>1</v>
      </c>
      <c r="E93" s="10">
        <v>0.2474729073312335</v>
      </c>
      <c r="F93" s="10">
        <v>0.11289914398655175</v>
      </c>
      <c r="G93" s="10">
        <v>0.71735886576283137</v>
      </c>
      <c r="H93" s="10">
        <v>4.8888079650538201E-2</v>
      </c>
      <c r="I93" s="10">
        <v>0.44041512237188685</v>
      </c>
      <c r="J93" s="10">
        <v>1.8586852066569768E-2</v>
      </c>
      <c r="K93" s="10">
        <v>5.3388428703245581E-2</v>
      </c>
      <c r="L93" s="10">
        <v>0.38087340916621987</v>
      </c>
      <c r="M93" s="10">
        <v>0.60192081511757745</v>
      </c>
      <c r="N93" s="10">
        <v>0.46526021912558901</v>
      </c>
      <c r="O93" s="10">
        <v>0.58868988214940843</v>
      </c>
      <c r="P93" s="10">
        <v>0.50918608138969867</v>
      </c>
      <c r="Q93" s="10">
        <v>43.9651451111</v>
      </c>
      <c r="R93" s="10">
        <v>66.820465087900004</v>
      </c>
      <c r="S93" s="10">
        <v>54.416477203399999</v>
      </c>
      <c r="T93" s="10">
        <v>74.091491699200006</v>
      </c>
      <c r="U93" s="10">
        <v>84.541717529300001</v>
      </c>
      <c r="V93" s="10">
        <v>54.232173919700003</v>
      </c>
      <c r="W93" s="10">
        <v>28.220950129999999</v>
      </c>
      <c r="X93" s="10">
        <v>-26.254329720000001</v>
      </c>
    </row>
    <row r="94" spans="1:24" x14ac:dyDescent="0.45">
      <c r="A94">
        <v>79700043</v>
      </c>
      <c r="B94" t="s">
        <v>22</v>
      </c>
      <c r="D94">
        <v>1</v>
      </c>
      <c r="E94" s="10">
        <v>0.20249313491328122</v>
      </c>
      <c r="F94" s="10">
        <v>2.4960342066247788E-2</v>
      </c>
      <c r="G94" s="10">
        <v>0.72383093026106571</v>
      </c>
      <c r="H94" s="10">
        <v>1.0161132968518704E-2</v>
      </c>
      <c r="I94" s="10">
        <v>3.2434784438382675E-3</v>
      </c>
      <c r="J94" s="10">
        <v>7.3146175245321346E-3</v>
      </c>
      <c r="K94" s="10">
        <v>3.7033627463545528E-2</v>
      </c>
      <c r="L94" s="10">
        <v>0.5228988048747597</v>
      </c>
      <c r="M94" s="10">
        <v>0.83052853115399139</v>
      </c>
      <c r="N94" s="10">
        <v>0.56103067337448598</v>
      </c>
      <c r="O94" s="10">
        <v>0.79720779127168573</v>
      </c>
      <c r="P94" s="10">
        <v>0.6779164501687307</v>
      </c>
      <c r="Q94" s="10">
        <v>34.934628077900001</v>
      </c>
      <c r="R94" s="10">
        <v>70.161895176100003</v>
      </c>
      <c r="S94" s="10">
        <v>56.744120399899998</v>
      </c>
      <c r="T94" s="10">
        <v>77.589404699900001</v>
      </c>
      <c r="U94" s="10">
        <v>88.491792570900003</v>
      </c>
      <c r="V94" s="10">
        <v>57.822266308800003</v>
      </c>
      <c r="W94" s="10">
        <v>28.247238200000002</v>
      </c>
      <c r="X94" s="10">
        <v>-26.289657470000002</v>
      </c>
    </row>
    <row r="95" spans="1:24" x14ac:dyDescent="0.45">
      <c r="A95">
        <v>79700044</v>
      </c>
      <c r="B95" t="s">
        <v>22</v>
      </c>
      <c r="D95">
        <v>1</v>
      </c>
      <c r="E95" s="10">
        <v>0.37767941848816461</v>
      </c>
      <c r="F95" s="10">
        <v>3.6866800839170592E-2</v>
      </c>
      <c r="G95" s="10">
        <v>0.64872113693907807</v>
      </c>
      <c r="H95" s="10">
        <v>0</v>
      </c>
      <c r="I95" s="10">
        <v>1.2721352491039261E-2</v>
      </c>
      <c r="J95" s="10">
        <v>3.8957265421805706E-2</v>
      </c>
      <c r="K95" s="10">
        <v>0.12330606680665077</v>
      </c>
      <c r="L95" s="10">
        <v>0.3706575814446193</v>
      </c>
      <c r="M95" s="10">
        <v>0.73701824822689688</v>
      </c>
      <c r="N95" s="10">
        <v>0.56496186908516188</v>
      </c>
      <c r="O95" s="10">
        <v>0.62718729006157004</v>
      </c>
      <c r="P95" s="10">
        <v>0.57495624720456195</v>
      </c>
      <c r="Q95" s="10">
        <v>35.474670410199998</v>
      </c>
      <c r="R95" s="10">
        <v>70.796633327699993</v>
      </c>
      <c r="S95" s="10">
        <v>57.2767846725</v>
      </c>
      <c r="T95" s="10">
        <v>77.667181127199996</v>
      </c>
      <c r="U95" s="10">
        <v>88.513352786799999</v>
      </c>
      <c r="V95" s="10">
        <v>59.729213041400001</v>
      </c>
      <c r="W95" s="10">
        <v>28.188663760000001</v>
      </c>
      <c r="X95" s="10">
        <v>-26.338352969999999</v>
      </c>
    </row>
    <row r="96" spans="1:24" x14ac:dyDescent="0.45">
      <c r="A96">
        <v>79700045</v>
      </c>
      <c r="B96" t="s">
        <v>22</v>
      </c>
      <c r="D96">
        <v>1</v>
      </c>
      <c r="E96" s="10">
        <v>0.22311433709406386</v>
      </c>
      <c r="F96" s="10">
        <v>0.25129705995189544</v>
      </c>
      <c r="G96" s="10">
        <v>0.68972968501083132</v>
      </c>
      <c r="H96" s="10">
        <v>5.4743042448908595E-3</v>
      </c>
      <c r="I96" s="10">
        <v>0.184601198061418</v>
      </c>
      <c r="J96" s="10">
        <v>1.2268432506416422E-2</v>
      </c>
      <c r="K96" s="10">
        <v>4.4194496099125825E-2</v>
      </c>
      <c r="L96" s="10">
        <v>0.47895863217810325</v>
      </c>
      <c r="M96" s="10">
        <v>0.82902822630814355</v>
      </c>
      <c r="N96" s="10">
        <v>0.49375384923530036</v>
      </c>
      <c r="O96" s="10">
        <v>0.78655425770239851</v>
      </c>
      <c r="P96" s="10">
        <v>0.64707374135598639</v>
      </c>
      <c r="Q96" s="10">
        <v>36.234482574499999</v>
      </c>
      <c r="R96" s="10">
        <v>73.933476543400005</v>
      </c>
      <c r="S96" s="10">
        <v>59.2116297245</v>
      </c>
      <c r="T96" s="10">
        <v>82.020119953199995</v>
      </c>
      <c r="U96" s="10">
        <v>91.608360004399998</v>
      </c>
      <c r="V96" s="10">
        <v>62.893804168700001</v>
      </c>
      <c r="W96" s="10">
        <v>28.245263229999999</v>
      </c>
      <c r="X96" s="10">
        <v>-26.346002980000002</v>
      </c>
    </row>
    <row r="97" spans="1:24" x14ac:dyDescent="0.45">
      <c r="A97">
        <v>79700046</v>
      </c>
      <c r="B97" t="s">
        <v>22</v>
      </c>
      <c r="D97">
        <v>1</v>
      </c>
      <c r="E97" s="10">
        <v>0.66624591651767184</v>
      </c>
      <c r="F97" s="10">
        <v>6.1878502962154115E-3</v>
      </c>
      <c r="G97" s="10">
        <v>0.667368722848385</v>
      </c>
      <c r="H97" s="10">
        <v>0</v>
      </c>
      <c r="I97" s="10">
        <v>6.1607026247333298E-3</v>
      </c>
      <c r="J97" s="10">
        <v>6.0213744285270168E-2</v>
      </c>
      <c r="K97" s="10">
        <v>0.14697158938240143</v>
      </c>
      <c r="L97" s="10">
        <v>0.34694426588595173</v>
      </c>
      <c r="M97" s="10">
        <v>0.54703347121091506</v>
      </c>
      <c r="N97" s="10">
        <v>0.36900393120790143</v>
      </c>
      <c r="O97" s="10">
        <v>0.51953389145237472</v>
      </c>
      <c r="P97" s="10">
        <v>0.44562888993928573</v>
      </c>
      <c r="Q97" s="10">
        <v>37.503623962399999</v>
      </c>
      <c r="R97" s="10">
        <v>71.874659220400005</v>
      </c>
      <c r="S97" s="10">
        <v>57.638515472400002</v>
      </c>
      <c r="T97" s="10">
        <v>78.891188303600003</v>
      </c>
      <c r="U97" s="10">
        <v>89.303181118400005</v>
      </c>
      <c r="V97" s="10">
        <v>61.665756861399998</v>
      </c>
      <c r="W97" s="10">
        <v>28.211581549999998</v>
      </c>
      <c r="X97" s="10">
        <v>-26.361705669999999</v>
      </c>
    </row>
    <row r="98" spans="1:24" x14ac:dyDescent="0.45">
      <c r="A98">
        <v>79700047</v>
      </c>
      <c r="B98" t="s">
        <v>22</v>
      </c>
      <c r="D98">
        <v>1</v>
      </c>
      <c r="E98" s="10">
        <v>0.33371879119239789</v>
      </c>
      <c r="F98" s="10">
        <v>3.2348602695737902E-2</v>
      </c>
      <c r="G98" s="10">
        <v>0.63846006510029729</v>
      </c>
      <c r="H98" s="10">
        <v>2.2319765746587972E-3</v>
      </c>
      <c r="I98" s="10">
        <v>5.932536699242332E-3</v>
      </c>
      <c r="J98" s="10">
        <v>4.0256000387243224E-2</v>
      </c>
      <c r="K98" s="10">
        <v>0.26487498752961514</v>
      </c>
      <c r="L98" s="10">
        <v>0.44875202011933008</v>
      </c>
      <c r="M98" s="10">
        <v>0.71987791978877014</v>
      </c>
      <c r="N98" s="10">
        <v>0.51976988358049125</v>
      </c>
      <c r="O98" s="10">
        <v>0.68975654932133412</v>
      </c>
      <c r="P98" s="10">
        <v>0.59453909320248144</v>
      </c>
      <c r="Q98" s="10">
        <v>36.298980712899997</v>
      </c>
      <c r="R98" s="10">
        <v>70.754990210900004</v>
      </c>
      <c r="S98" s="10">
        <v>56.843939561100001</v>
      </c>
      <c r="T98" s="10">
        <v>77.000838059599999</v>
      </c>
      <c r="U98" s="10">
        <v>88.457281846300006</v>
      </c>
      <c r="V98" s="10">
        <v>60.717896388100002</v>
      </c>
      <c r="W98" s="10">
        <v>28.187357519999999</v>
      </c>
      <c r="X98" s="10">
        <v>-26.359896259999999</v>
      </c>
    </row>
    <row r="99" spans="1:24" x14ac:dyDescent="0.45">
      <c r="A99">
        <v>79700048</v>
      </c>
      <c r="B99" t="s">
        <v>22</v>
      </c>
      <c r="D99">
        <v>1</v>
      </c>
      <c r="E99" s="10">
        <v>0.4910908832620336</v>
      </c>
      <c r="F99" s="10">
        <v>1.6501312935773432E-2</v>
      </c>
      <c r="G99" s="10">
        <v>0.63068669466751426</v>
      </c>
      <c r="H99" s="10">
        <v>4.0563232193867775E-3</v>
      </c>
      <c r="I99" s="10">
        <v>0.18913235524022048</v>
      </c>
      <c r="J99" s="10">
        <v>6.8190968689399445E-2</v>
      </c>
      <c r="K99" s="10">
        <v>0.22797615762566703</v>
      </c>
      <c r="L99" s="10">
        <v>0.42781735612529453</v>
      </c>
      <c r="M99" s="10">
        <v>0.65255183457503863</v>
      </c>
      <c r="N99" s="10">
        <v>0.52771297431193986</v>
      </c>
      <c r="O99" s="10">
        <v>0.61502248465140308</v>
      </c>
      <c r="P99" s="10">
        <v>0.55577616241591909</v>
      </c>
      <c r="Q99" s="10">
        <v>36.113813527399998</v>
      </c>
      <c r="R99" s="10">
        <v>68.821978251100006</v>
      </c>
      <c r="S99" s="10">
        <v>55.840434773799998</v>
      </c>
      <c r="T99" s="10">
        <v>74.548527526900003</v>
      </c>
      <c r="U99" s="10">
        <v>86.281842041000004</v>
      </c>
      <c r="V99" s="10">
        <v>58.617100779200001</v>
      </c>
      <c r="W99" s="10">
        <v>28.164636869999999</v>
      </c>
      <c r="X99" s="10">
        <v>-26.34869363</v>
      </c>
    </row>
    <row r="100" spans="1:24" x14ac:dyDescent="0.45">
      <c r="A100">
        <v>79700049</v>
      </c>
      <c r="B100" t="s">
        <v>22</v>
      </c>
      <c r="D100">
        <v>1</v>
      </c>
      <c r="E100" s="10">
        <v>0.48521885220128963</v>
      </c>
      <c r="F100" s="10">
        <v>2.2475749228416591E-2</v>
      </c>
      <c r="G100" s="10">
        <v>0.64602710290903043</v>
      </c>
      <c r="H100" s="10">
        <v>0</v>
      </c>
      <c r="I100" s="10">
        <v>0.39157281035002101</v>
      </c>
      <c r="J100" s="10">
        <v>7.6356031894135104E-2</v>
      </c>
      <c r="K100" s="10">
        <v>0.14739676410462901</v>
      </c>
      <c r="L100" s="10">
        <v>0.4399817025353901</v>
      </c>
      <c r="M100" s="10">
        <v>0.65199829887828398</v>
      </c>
      <c r="N100" s="10">
        <v>0.51209375208748986</v>
      </c>
      <c r="O100" s="10">
        <v>0.59505252569856126</v>
      </c>
      <c r="P100" s="10">
        <v>0.54978156979993131</v>
      </c>
      <c r="Q100" s="10">
        <v>36.703952789299997</v>
      </c>
      <c r="R100" s="10">
        <v>67.508328247099996</v>
      </c>
      <c r="S100" s="10">
        <v>55.278145217899997</v>
      </c>
      <c r="T100" s="10">
        <v>73.381209564200006</v>
      </c>
      <c r="U100" s="10">
        <v>84.462379455600001</v>
      </c>
      <c r="V100" s="10">
        <v>56.911571502699999</v>
      </c>
      <c r="W100" s="10">
        <v>28.16005758</v>
      </c>
      <c r="X100" s="10">
        <v>-26.334333489999999</v>
      </c>
    </row>
    <row r="101" spans="1:24" x14ac:dyDescent="0.45">
      <c r="A101">
        <v>79700050</v>
      </c>
      <c r="B101" t="s">
        <v>22</v>
      </c>
      <c r="D101">
        <v>1</v>
      </c>
      <c r="E101" s="10">
        <v>0.8227899891179361</v>
      </c>
      <c r="F101" s="10">
        <v>1.1889644460430388E-2</v>
      </c>
      <c r="G101" s="10">
        <v>0.66245886188411462</v>
      </c>
      <c r="H101" s="10">
        <v>7.8907892554999312E-4</v>
      </c>
      <c r="I101" s="10">
        <v>0.32275653397924492</v>
      </c>
      <c r="J101" s="10">
        <v>0.12804976704882728</v>
      </c>
      <c r="K101" s="10">
        <v>0.10328414463176272</v>
      </c>
      <c r="L101" s="10">
        <v>0.22001825088446353</v>
      </c>
      <c r="M101" s="10">
        <v>0.24473210592346836</v>
      </c>
      <c r="N101" s="10">
        <v>0.20761907086351322</v>
      </c>
      <c r="O101" s="10">
        <v>0.24567940857646109</v>
      </c>
      <c r="P101" s="10">
        <v>0.22951220906197656</v>
      </c>
      <c r="Q101" s="10">
        <v>35.544441223100002</v>
      </c>
      <c r="R101" s="10">
        <v>65.10467826</v>
      </c>
      <c r="S101" s="10">
        <v>53.731645372199999</v>
      </c>
      <c r="T101" s="10">
        <v>70.657952202700002</v>
      </c>
      <c r="U101" s="10">
        <v>81.286341349300002</v>
      </c>
      <c r="V101" s="10">
        <v>54.742768605599998</v>
      </c>
      <c r="W101" s="10">
        <v>28.156039400000001</v>
      </c>
      <c r="X101" s="10">
        <v>-26.322788280000001</v>
      </c>
    </row>
    <row r="102" spans="1:24" x14ac:dyDescent="0.45">
      <c r="A102">
        <v>79700051</v>
      </c>
      <c r="B102" t="s">
        <v>22</v>
      </c>
      <c r="D102">
        <v>1</v>
      </c>
      <c r="E102" s="10">
        <v>0.62596149995769168</v>
      </c>
      <c r="F102" s="10">
        <v>4.2309218181226273E-2</v>
      </c>
      <c r="G102" s="10">
        <v>0.65061877929219325</v>
      </c>
      <c r="H102" s="10">
        <v>1.2328437844089392E-2</v>
      </c>
      <c r="I102" s="10">
        <v>0.71087654597916794</v>
      </c>
      <c r="J102" s="10">
        <v>0.13283016309456339</v>
      </c>
      <c r="K102" s="10">
        <v>4.1537752437739529E-2</v>
      </c>
      <c r="L102" s="10">
        <v>0.27730396530556439</v>
      </c>
      <c r="M102" s="10">
        <v>0.36292080758009582</v>
      </c>
      <c r="N102" s="10">
        <v>0.29486868061626259</v>
      </c>
      <c r="O102" s="10">
        <v>0.33880268217488302</v>
      </c>
      <c r="P102" s="10">
        <v>0.31847403391920148</v>
      </c>
      <c r="Q102" s="10">
        <v>35.089164733899999</v>
      </c>
      <c r="R102" s="10">
        <v>61.121944427499997</v>
      </c>
      <c r="S102" s="10">
        <v>51.037372165299999</v>
      </c>
      <c r="T102" s="10">
        <v>66.155301411899998</v>
      </c>
      <c r="U102" s="10">
        <v>76.049668206099994</v>
      </c>
      <c r="V102" s="10">
        <v>51.245429145000003</v>
      </c>
      <c r="W102" s="10">
        <v>28.1516883</v>
      </c>
      <c r="X102" s="10">
        <v>-26.30613061</v>
      </c>
    </row>
    <row r="103" spans="1:24" x14ac:dyDescent="0.45">
      <c r="A103">
        <v>79700079</v>
      </c>
      <c r="B103" t="s">
        <v>22</v>
      </c>
      <c r="D103">
        <v>1</v>
      </c>
      <c r="E103" s="10">
        <v>0.81141546172743351</v>
      </c>
      <c r="F103" s="10">
        <v>0.38911434147251667</v>
      </c>
      <c r="G103" s="10">
        <v>0.75140685614836888</v>
      </c>
      <c r="H103" s="10">
        <v>1.100622008409763E-3</v>
      </c>
      <c r="I103" s="10">
        <v>8.5070099547068609E-2</v>
      </c>
      <c r="J103" s="10">
        <v>8.3601309747650371E-2</v>
      </c>
      <c r="K103" s="10">
        <v>0.25057613009294105</v>
      </c>
      <c r="L103" s="10">
        <v>0.38185992919008366</v>
      </c>
      <c r="M103" s="10">
        <v>0.56508587673804234</v>
      </c>
      <c r="N103" s="10">
        <v>0.43073938008127638</v>
      </c>
      <c r="O103" s="10">
        <v>0.53899488071738422</v>
      </c>
      <c r="P103" s="10">
        <v>0.47917001668169668</v>
      </c>
      <c r="Q103" s="10">
        <v>52.014992305200003</v>
      </c>
      <c r="R103" s="10">
        <v>70.908661433600003</v>
      </c>
      <c r="S103" s="10">
        <v>50.640000751999999</v>
      </c>
      <c r="T103" s="10">
        <v>78.965602874799998</v>
      </c>
      <c r="U103" s="10">
        <v>94.897135053400007</v>
      </c>
      <c r="V103" s="10">
        <v>59.131909779099999</v>
      </c>
      <c r="W103" s="10">
        <v>28.386230229999999</v>
      </c>
      <c r="X103" s="10">
        <v>-26.309508019999999</v>
      </c>
    </row>
    <row r="104" spans="1:24" x14ac:dyDescent="0.45">
      <c r="A104">
        <v>79700080</v>
      </c>
      <c r="B104" t="s">
        <v>22</v>
      </c>
      <c r="D104">
        <v>1</v>
      </c>
      <c r="E104" s="10">
        <v>0.74658177929066738</v>
      </c>
      <c r="F104" s="10">
        <v>0.32368400274855169</v>
      </c>
      <c r="G104" s="10">
        <v>0.76169633170739171</v>
      </c>
      <c r="H104" s="10">
        <v>1.6041531835492098E-3</v>
      </c>
      <c r="I104" s="10">
        <v>1.7120147988275571E-2</v>
      </c>
      <c r="J104" s="10">
        <v>8.2263446482235575E-2</v>
      </c>
      <c r="K104" s="10">
        <v>0.23243255959114792</v>
      </c>
      <c r="L104" s="10">
        <v>0.3802502442983085</v>
      </c>
      <c r="M104" s="10">
        <v>0.5300746105727141</v>
      </c>
      <c r="N104" s="10">
        <v>0.42204507510710848</v>
      </c>
      <c r="O104" s="10">
        <v>0.53631140674120015</v>
      </c>
      <c r="P104" s="10">
        <v>0.46717033417983278</v>
      </c>
      <c r="Q104" s="10">
        <v>51.453918880899998</v>
      </c>
      <c r="R104" s="10">
        <v>70.662947760700007</v>
      </c>
      <c r="S104" s="10">
        <v>49.4709366692</v>
      </c>
      <c r="T104" s="10">
        <v>78.521987914999997</v>
      </c>
      <c r="U104" s="10">
        <v>95.601743909999996</v>
      </c>
      <c r="V104" s="10">
        <v>59.057133992499999</v>
      </c>
      <c r="W104" s="10">
        <v>28.400321559999998</v>
      </c>
      <c r="X104" s="10">
        <v>-26.309125730000002</v>
      </c>
    </row>
    <row r="105" spans="1:24" x14ac:dyDescent="0.45">
      <c r="A105">
        <v>79700081</v>
      </c>
      <c r="B105" t="s">
        <v>22</v>
      </c>
      <c r="D105">
        <v>1</v>
      </c>
      <c r="E105" s="10">
        <v>0.28005601693875876</v>
      </c>
      <c r="F105" s="10">
        <v>0.37470212959511834</v>
      </c>
      <c r="G105" s="10">
        <v>0.77098296606962935</v>
      </c>
      <c r="H105" s="10">
        <v>6.2741947465322465E-4</v>
      </c>
      <c r="I105" s="10">
        <v>0.16025793522036383</v>
      </c>
      <c r="J105" s="10">
        <v>2.7915127444620047E-2</v>
      </c>
      <c r="K105" s="10">
        <v>0.24361112467246765</v>
      </c>
      <c r="L105" s="10">
        <v>0.48136324921378926</v>
      </c>
      <c r="M105" s="10">
        <v>0.79578822815643346</v>
      </c>
      <c r="N105" s="10">
        <v>0.54164253811793772</v>
      </c>
      <c r="O105" s="10">
        <v>0.75589335038328287</v>
      </c>
      <c r="P105" s="10">
        <v>0.64367184146786083</v>
      </c>
      <c r="Q105" s="10">
        <v>47.444572448700001</v>
      </c>
      <c r="R105" s="10">
        <v>69.447586059599999</v>
      </c>
      <c r="S105" s="10">
        <v>45.798679351799997</v>
      </c>
      <c r="T105" s="10">
        <v>76.599060058600003</v>
      </c>
      <c r="U105" s="10">
        <v>96.467231750500005</v>
      </c>
      <c r="V105" s="10">
        <v>58.925388336200001</v>
      </c>
      <c r="W105" s="10">
        <v>28.399864709999999</v>
      </c>
      <c r="X105" s="10">
        <v>-26.33776976</v>
      </c>
    </row>
    <row r="106" spans="1:24" x14ac:dyDescent="0.45">
      <c r="A106">
        <v>79700082</v>
      </c>
      <c r="B106" t="s">
        <v>22</v>
      </c>
      <c r="D106">
        <v>1</v>
      </c>
      <c r="E106" s="10">
        <v>0.68914296569669675</v>
      </c>
      <c r="F106" s="10">
        <v>0.12121280981984038</v>
      </c>
      <c r="G106" s="10">
        <v>0.7731647812106619</v>
      </c>
      <c r="H106" s="10">
        <v>1.5558897632263546E-2</v>
      </c>
      <c r="I106" s="10">
        <v>3.67285455404181E-2</v>
      </c>
      <c r="J106" s="10">
        <v>5.0598880284302081E-2</v>
      </c>
      <c r="K106" s="10">
        <v>0.19468592528049108</v>
      </c>
      <c r="L106" s="10">
        <v>0.4160947779257802</v>
      </c>
      <c r="M106" s="10">
        <v>0.56985546338949078</v>
      </c>
      <c r="N106" s="10">
        <v>0.39569370355535627</v>
      </c>
      <c r="O106" s="10">
        <v>0.54835030123811723</v>
      </c>
      <c r="P106" s="10">
        <v>0.48249856152718612</v>
      </c>
      <c r="Q106" s="10">
        <v>46.056667327900001</v>
      </c>
      <c r="R106" s="10">
        <v>70.1450233459</v>
      </c>
      <c r="S106" s="10">
        <v>50.6573484209</v>
      </c>
      <c r="T106" s="10">
        <v>77.151942359100005</v>
      </c>
      <c r="U106" s="10">
        <v>92.135487026600003</v>
      </c>
      <c r="V106" s="10">
        <v>60.635321935</v>
      </c>
      <c r="W106" s="10">
        <v>28.371193470000001</v>
      </c>
      <c r="X106" s="10">
        <v>-26.351547629999999</v>
      </c>
    </row>
    <row r="107" spans="1:24" x14ac:dyDescent="0.45">
      <c r="A107">
        <v>79700083</v>
      </c>
      <c r="B107" t="s">
        <v>22</v>
      </c>
      <c r="D107">
        <v>1</v>
      </c>
      <c r="E107" s="10">
        <v>0.96976855276870277</v>
      </c>
      <c r="F107" s="10">
        <v>0.2678549903135018</v>
      </c>
      <c r="G107" s="10">
        <v>0.7930220379645444</v>
      </c>
      <c r="H107" s="10">
        <v>5.545518902132493E-3</v>
      </c>
      <c r="I107" s="10">
        <v>4.1377096876534208E-2</v>
      </c>
      <c r="J107" s="10">
        <v>0.10469808891741775</v>
      </c>
      <c r="K107" s="10">
        <v>0.29510758599141912</v>
      </c>
      <c r="L107" s="10">
        <v>0.31145127991446958</v>
      </c>
      <c r="M107" s="10">
        <v>0.28943710278638829</v>
      </c>
      <c r="N107" s="10">
        <v>0.27054442453175648</v>
      </c>
      <c r="O107" s="10">
        <v>0.32729519383264577</v>
      </c>
      <c r="P107" s="10">
        <v>0.29968200026631503</v>
      </c>
      <c r="Q107" s="10">
        <v>48.682962036100001</v>
      </c>
      <c r="R107" s="10">
        <v>69.991976928699998</v>
      </c>
      <c r="S107" s="10">
        <v>49.464378356899999</v>
      </c>
      <c r="T107" s="10">
        <v>76.584362792999997</v>
      </c>
      <c r="U107" s="10">
        <v>93.399967193600006</v>
      </c>
      <c r="V107" s="10">
        <v>60.519205856299997</v>
      </c>
      <c r="W107" s="10">
        <v>28.38598893</v>
      </c>
      <c r="X107" s="10">
        <v>-26.350793840000001</v>
      </c>
    </row>
    <row r="108" spans="1:24" x14ac:dyDescent="0.45">
      <c r="A108">
        <v>79700084</v>
      </c>
      <c r="B108" t="s">
        <v>22</v>
      </c>
      <c r="D108">
        <v>1</v>
      </c>
      <c r="E108" s="10">
        <v>0.71628504106562918</v>
      </c>
      <c r="F108" s="10">
        <v>0.19092660625175392</v>
      </c>
      <c r="G108" s="10">
        <v>0.78813973139035032</v>
      </c>
      <c r="H108" s="10">
        <v>1.4616227162035206E-3</v>
      </c>
      <c r="I108" s="10">
        <v>0.21154603788549656</v>
      </c>
      <c r="J108" s="10">
        <v>6.1067638935255915E-2</v>
      </c>
      <c r="K108" s="10">
        <v>0.21865820010591411</v>
      </c>
      <c r="L108" s="10">
        <v>0.44501605328434113</v>
      </c>
      <c r="M108" s="10">
        <v>0.59250976118419796</v>
      </c>
      <c r="N108" s="10">
        <v>0.45559808542288766</v>
      </c>
      <c r="O108" s="10">
        <v>0.55736807663477861</v>
      </c>
      <c r="P108" s="10">
        <v>0.51262299413155132</v>
      </c>
      <c r="Q108" s="10">
        <v>50.122539520300002</v>
      </c>
      <c r="R108" s="10">
        <v>69.781683603900007</v>
      </c>
      <c r="S108" s="10">
        <v>49.061052163399999</v>
      </c>
      <c r="T108" s="10">
        <v>75.002122243200006</v>
      </c>
      <c r="U108" s="10">
        <v>93.544089317300006</v>
      </c>
      <c r="V108" s="10">
        <v>61.5194729169</v>
      </c>
      <c r="W108" s="10">
        <v>28.391259680000001</v>
      </c>
      <c r="X108" s="10">
        <v>-26.366849599999998</v>
      </c>
    </row>
    <row r="109" spans="1:24" x14ac:dyDescent="0.45">
      <c r="A109">
        <v>79700085</v>
      </c>
      <c r="B109" t="s">
        <v>22</v>
      </c>
      <c r="D109">
        <v>1</v>
      </c>
      <c r="E109" s="10">
        <v>0.54087643405139396</v>
      </c>
      <c r="F109" s="10">
        <v>0.19634079749753436</v>
      </c>
      <c r="G109" s="10">
        <v>0.73475799138886644</v>
      </c>
      <c r="H109" s="10">
        <v>1.3714541648368451E-4</v>
      </c>
      <c r="I109" s="10">
        <v>4.3143780811098806E-2</v>
      </c>
      <c r="J109" s="10">
        <v>4.7892489179506663E-2</v>
      </c>
      <c r="K109" s="10">
        <v>6.8553959363393105E-2</v>
      </c>
      <c r="L109" s="10">
        <v>0.4204981612112485</v>
      </c>
      <c r="M109" s="10">
        <v>0.64534605459778527</v>
      </c>
      <c r="N109" s="10">
        <v>0.42085897442009901</v>
      </c>
      <c r="O109" s="10">
        <v>0.58891657038871059</v>
      </c>
      <c r="P109" s="10">
        <v>0.51890494015446087</v>
      </c>
      <c r="Q109" s="10">
        <v>37.719955444299998</v>
      </c>
      <c r="R109" s="10">
        <v>69.971391097400002</v>
      </c>
      <c r="S109" s="10">
        <v>51.696984498399999</v>
      </c>
      <c r="T109" s="10">
        <v>76.354457689399993</v>
      </c>
      <c r="U109" s="10">
        <v>90.300532797100004</v>
      </c>
      <c r="V109" s="10">
        <v>61.533589072799998</v>
      </c>
      <c r="W109" s="10">
        <v>28.354478400000001</v>
      </c>
      <c r="X109" s="10">
        <v>-26.36726093</v>
      </c>
    </row>
    <row r="110" spans="1:24" x14ac:dyDescent="0.45">
      <c r="A110">
        <v>79700086</v>
      </c>
      <c r="B110" t="s">
        <v>22</v>
      </c>
      <c r="D110">
        <v>1</v>
      </c>
      <c r="E110" s="10">
        <v>0.82138027899712795</v>
      </c>
      <c r="F110" s="10">
        <v>0.56882064166654001</v>
      </c>
      <c r="G110" s="10">
        <v>0.77161275705581001</v>
      </c>
      <c r="H110" s="10">
        <v>0</v>
      </c>
      <c r="I110" s="10">
        <v>0.10577245721810841</v>
      </c>
      <c r="J110" s="10">
        <v>7.5543527768986457E-2</v>
      </c>
      <c r="K110" s="10">
        <v>9.5511567684222171E-2</v>
      </c>
      <c r="L110" s="10">
        <v>0.39585296903581058</v>
      </c>
      <c r="M110" s="10">
        <v>0.54175084536237206</v>
      </c>
      <c r="N110" s="10">
        <v>0.40502121101460448</v>
      </c>
      <c r="O110" s="10">
        <v>0.51931922108116402</v>
      </c>
      <c r="P110" s="10">
        <v>0.46548606162348782</v>
      </c>
      <c r="Q110" s="10">
        <v>54.604364395099999</v>
      </c>
      <c r="R110" s="10">
        <v>69.613368294500006</v>
      </c>
      <c r="S110" s="10">
        <v>49.588674198500001</v>
      </c>
      <c r="T110" s="10">
        <v>74.053113417199995</v>
      </c>
      <c r="U110" s="10">
        <v>92.378949251999998</v>
      </c>
      <c r="V110" s="10">
        <v>62.432733882599997</v>
      </c>
      <c r="W110" s="10">
        <v>28.383596489999999</v>
      </c>
      <c r="X110" s="10">
        <v>-26.382074450000001</v>
      </c>
    </row>
    <row r="111" spans="1:24" x14ac:dyDescent="0.45">
      <c r="A111">
        <v>79700087</v>
      </c>
      <c r="B111" t="s">
        <v>22</v>
      </c>
      <c r="D111">
        <v>1</v>
      </c>
      <c r="E111" s="10">
        <v>7.9904038099363583E-2</v>
      </c>
      <c r="F111" s="10">
        <v>0.53178852595834736</v>
      </c>
      <c r="G111" s="10">
        <v>0.74676935726375826</v>
      </c>
      <c r="H111" s="10">
        <v>2.337630223857301E-4</v>
      </c>
      <c r="I111" s="10">
        <v>0.12021676451369502</v>
      </c>
      <c r="J111" s="10">
        <v>1.8897051692090869E-2</v>
      </c>
      <c r="K111" s="10">
        <v>4.9556614838338835E-2</v>
      </c>
      <c r="L111" s="10">
        <v>0.40007029110742287</v>
      </c>
      <c r="M111" s="10">
        <v>0.68143966520993449</v>
      </c>
      <c r="N111" s="10">
        <v>0.45462259597755939</v>
      </c>
      <c r="O111" s="10">
        <v>0.68026370948406401</v>
      </c>
      <c r="P111" s="10">
        <v>0.55409906544474519</v>
      </c>
      <c r="Q111" s="10">
        <v>41.703008651700003</v>
      </c>
      <c r="R111" s="10">
        <v>69.625434875500005</v>
      </c>
      <c r="S111" s="10">
        <v>46.688667297400002</v>
      </c>
      <c r="T111" s="10">
        <v>71.166984558099998</v>
      </c>
      <c r="U111" s="10">
        <v>97.429100036600005</v>
      </c>
      <c r="V111" s="10">
        <v>63.216987609900002</v>
      </c>
      <c r="W111" s="10">
        <v>28.417267769999999</v>
      </c>
      <c r="X111" s="10">
        <v>-26.391064279999998</v>
      </c>
    </row>
    <row r="112" spans="1:24" x14ac:dyDescent="0.45">
      <c r="A112">
        <v>79700090</v>
      </c>
      <c r="B112" t="s">
        <v>22</v>
      </c>
      <c r="D112">
        <v>1</v>
      </c>
      <c r="E112" s="10">
        <v>0.90861167443341351</v>
      </c>
      <c r="F112" s="10">
        <v>7.9301196434227658E-2</v>
      </c>
      <c r="G112" s="10">
        <v>0.70482338367330521</v>
      </c>
      <c r="H112" s="10">
        <v>2.6183920618882587E-2</v>
      </c>
      <c r="I112" s="10">
        <v>0.28209350838084107</v>
      </c>
      <c r="J112" s="10">
        <v>0.19118271746302515</v>
      </c>
      <c r="K112" s="10">
        <v>0.27093782721488391</v>
      </c>
      <c r="L112" s="10">
        <v>0.2623754113869935</v>
      </c>
      <c r="M112" s="10">
        <v>0.25613855377593137</v>
      </c>
      <c r="N112" s="10">
        <v>0.23943168774342691</v>
      </c>
      <c r="O112" s="10">
        <v>0.29841158945990048</v>
      </c>
      <c r="P112" s="10">
        <v>0.2640893105915631</v>
      </c>
      <c r="Q112" s="10">
        <v>31.1181278229</v>
      </c>
      <c r="R112" s="10">
        <v>50.885899861699997</v>
      </c>
      <c r="S112" s="10">
        <v>39.102475484199999</v>
      </c>
      <c r="T112" s="10">
        <v>55.8224798838</v>
      </c>
      <c r="U112" s="10">
        <v>67.532183329299997</v>
      </c>
      <c r="V112" s="10">
        <v>41.086465835600002</v>
      </c>
      <c r="W112" s="10">
        <v>28.205500199999999</v>
      </c>
      <c r="X112" s="10">
        <v>-26.0311685</v>
      </c>
    </row>
    <row r="113" spans="1:24" x14ac:dyDescent="0.45">
      <c r="A113">
        <v>79700091</v>
      </c>
      <c r="B113" t="s">
        <v>22</v>
      </c>
      <c r="D113">
        <v>1</v>
      </c>
      <c r="E113" s="10">
        <v>0.50706828293991291</v>
      </c>
      <c r="F113" s="10">
        <v>6.2464773368168469E-2</v>
      </c>
      <c r="G113" s="10">
        <v>0.75441731549970348</v>
      </c>
      <c r="H113" s="10">
        <v>6.2230291962708263E-4</v>
      </c>
      <c r="I113" s="10">
        <v>2.3410740954222371E-2</v>
      </c>
      <c r="J113" s="10">
        <v>2.0099603013632231E-2</v>
      </c>
      <c r="K113" s="10">
        <v>0.10878617298509219</v>
      </c>
      <c r="L113" s="10">
        <v>0.56098717021974354</v>
      </c>
      <c r="M113" s="10">
        <v>0.72165984881200318</v>
      </c>
      <c r="N113" s="10">
        <v>0.55336263553491793</v>
      </c>
      <c r="O113" s="10">
        <v>0.69514090791279426</v>
      </c>
      <c r="P113" s="10">
        <v>0.6327876406198647</v>
      </c>
      <c r="Q113" s="10">
        <v>30.599653243999999</v>
      </c>
      <c r="R113" s="10">
        <v>52.882713317899999</v>
      </c>
      <c r="S113" s="10">
        <v>40.865383148200003</v>
      </c>
      <c r="T113" s="10">
        <v>57.924358367899998</v>
      </c>
      <c r="U113" s="10">
        <v>69.771766662600001</v>
      </c>
      <c r="V113" s="10">
        <v>42.969345092799998</v>
      </c>
      <c r="W113" s="10">
        <v>28.225571949999999</v>
      </c>
      <c r="X113" s="10">
        <v>-26.042770010000002</v>
      </c>
    </row>
    <row r="114" spans="1:24" x14ac:dyDescent="0.45">
      <c r="A114">
        <v>79700092</v>
      </c>
      <c r="B114" t="s">
        <v>22</v>
      </c>
      <c r="D114">
        <v>1</v>
      </c>
      <c r="E114" s="10">
        <v>0.61148208885911526</v>
      </c>
      <c r="F114" s="10">
        <v>4.5019874358140172E-2</v>
      </c>
      <c r="G114" s="10">
        <v>0.8511631287884639</v>
      </c>
      <c r="H114" s="10">
        <v>0.72335753950043957</v>
      </c>
      <c r="I114" s="10">
        <v>1.7662476313036628E-2</v>
      </c>
      <c r="J114" s="10">
        <v>6.6416309567007767E-3</v>
      </c>
      <c r="K114" s="10">
        <v>2.3230358840419425E-2</v>
      </c>
      <c r="L114" s="10">
        <v>0.3979277034702004</v>
      </c>
      <c r="M114" s="10">
        <v>0.44111697610042527</v>
      </c>
      <c r="N114" s="10">
        <v>0.3678749458882733</v>
      </c>
      <c r="O114" s="10">
        <v>0.48317002154867461</v>
      </c>
      <c r="P114" s="10">
        <v>0.42252241175189342</v>
      </c>
      <c r="Q114" s="10">
        <v>24.204429388000001</v>
      </c>
      <c r="R114" s="10">
        <v>51.722846984900002</v>
      </c>
      <c r="S114" s="10">
        <v>41.986251831099999</v>
      </c>
      <c r="T114" s="10">
        <v>54.071014404300001</v>
      </c>
      <c r="U114" s="10">
        <v>67.913665771500007</v>
      </c>
      <c r="V114" s="10">
        <v>42.920459747300001</v>
      </c>
      <c r="W114" s="10">
        <v>28.211553389999999</v>
      </c>
      <c r="X114" s="10">
        <v>-26.16235631</v>
      </c>
    </row>
    <row r="115" spans="1:24" x14ac:dyDescent="0.45">
      <c r="A115">
        <v>79700093</v>
      </c>
      <c r="B115" t="s">
        <v>22</v>
      </c>
      <c r="D115">
        <v>1</v>
      </c>
      <c r="E115" s="10">
        <v>0.15846702794459716</v>
      </c>
      <c r="F115" s="10">
        <v>0.38550191756261121</v>
      </c>
      <c r="G115" s="10">
        <v>0.81175595065028661</v>
      </c>
      <c r="H115" s="10">
        <v>0.20523649500550167</v>
      </c>
      <c r="I115" s="10">
        <v>0.22204689964772986</v>
      </c>
      <c r="J115" s="10">
        <v>1.7069352049194596E-2</v>
      </c>
      <c r="K115" s="10">
        <v>1.5858022807389242E-2</v>
      </c>
      <c r="L115" s="10">
        <v>0.33412466489392839</v>
      </c>
      <c r="M115" s="10">
        <v>0.53094033800835461</v>
      </c>
      <c r="N115" s="10">
        <v>0.37374533340128591</v>
      </c>
      <c r="O115" s="10">
        <v>0.54659076320714051</v>
      </c>
      <c r="P115" s="10">
        <v>0.44635027487767737</v>
      </c>
      <c r="Q115" s="10">
        <v>42.719013214100002</v>
      </c>
      <c r="R115" s="10">
        <v>65.242027282699993</v>
      </c>
      <c r="S115" s="10">
        <v>53.970382690400001</v>
      </c>
      <c r="T115" s="10">
        <v>70.075080871599994</v>
      </c>
      <c r="U115" s="10">
        <v>82.688278198199995</v>
      </c>
      <c r="V115" s="10">
        <v>54.234375</v>
      </c>
      <c r="W115" s="10">
        <v>28.18388367</v>
      </c>
      <c r="X115" s="10">
        <v>-26.20720927</v>
      </c>
    </row>
    <row r="116" spans="1:24" x14ac:dyDescent="0.45">
      <c r="A116">
        <v>79700094</v>
      </c>
      <c r="B116" t="s">
        <v>22</v>
      </c>
      <c r="D116">
        <v>1</v>
      </c>
      <c r="E116" s="10">
        <v>0.34393995110143932</v>
      </c>
      <c r="F116" s="10">
        <v>2.4769510093387952E-2</v>
      </c>
      <c r="G116" s="10">
        <v>0.73937042043403134</v>
      </c>
      <c r="H116" s="10">
        <v>0.34878965525219402</v>
      </c>
      <c r="I116" s="10">
        <v>5.0024430054204129E-3</v>
      </c>
      <c r="J116" s="10">
        <v>4.7965082772213723E-3</v>
      </c>
      <c r="K116" s="10">
        <v>4.0597601136153752E-2</v>
      </c>
      <c r="L116" s="10">
        <v>0.48276617360509028</v>
      </c>
      <c r="M116" s="10">
        <v>0.61980544131360882</v>
      </c>
      <c r="N116" s="10">
        <v>0.4833181180813842</v>
      </c>
      <c r="O116" s="10">
        <v>0.63760966170888378</v>
      </c>
      <c r="P116" s="10">
        <v>0.5558748486772418</v>
      </c>
      <c r="Q116" s="10">
        <v>27.967157602299999</v>
      </c>
      <c r="R116" s="10">
        <v>51.2191238403</v>
      </c>
      <c r="S116" s="10">
        <v>45.168949127200001</v>
      </c>
      <c r="T116" s="10">
        <v>52.592880248999997</v>
      </c>
      <c r="U116" s="10">
        <v>62.268825530999997</v>
      </c>
      <c r="V116" s="10">
        <v>44.845832824699997</v>
      </c>
      <c r="W116" s="10">
        <v>28.110063310000001</v>
      </c>
      <c r="X116" s="10">
        <v>-26.301912999999999</v>
      </c>
    </row>
    <row r="117" spans="1:24" x14ac:dyDescent="0.45">
      <c r="A117">
        <v>79700095</v>
      </c>
      <c r="B117" t="s">
        <v>22</v>
      </c>
      <c r="D117">
        <v>1</v>
      </c>
      <c r="E117" s="10">
        <v>0.35222991020107741</v>
      </c>
      <c r="F117" s="10">
        <v>2.093636338872645E-2</v>
      </c>
      <c r="G117" s="10">
        <v>0.68966757601691242</v>
      </c>
      <c r="H117" s="10">
        <v>1.0282724422382643E-2</v>
      </c>
      <c r="I117" s="10">
        <v>5.1728429816567986E-2</v>
      </c>
      <c r="J117" s="10">
        <v>3.8226238849291813E-2</v>
      </c>
      <c r="K117" s="10">
        <v>3.6878788483920191E-2</v>
      </c>
      <c r="L117" s="10">
        <v>0.39142202696339451</v>
      </c>
      <c r="M117" s="10">
        <v>0.68026492938949001</v>
      </c>
      <c r="N117" s="10">
        <v>0.41931337712500727</v>
      </c>
      <c r="O117" s="10">
        <v>0.66187029129352604</v>
      </c>
      <c r="P117" s="10">
        <v>0.53821765619285444</v>
      </c>
      <c r="Q117" s="10">
        <v>35.720619201700003</v>
      </c>
      <c r="R117" s="10">
        <v>76.144691467300007</v>
      </c>
      <c r="S117" s="10">
        <v>61.103973388699998</v>
      </c>
      <c r="T117" s="10">
        <v>84.825698852499997</v>
      </c>
      <c r="U117" s="10">
        <v>94.741096496599994</v>
      </c>
      <c r="V117" s="10">
        <v>63.908008575399997</v>
      </c>
      <c r="W117" s="10">
        <v>28.21209309</v>
      </c>
      <c r="X117" s="10">
        <v>-26.334700460000001</v>
      </c>
    </row>
    <row r="118" spans="1:24" x14ac:dyDescent="0.45">
      <c r="A118">
        <v>79700096</v>
      </c>
      <c r="B118" t="s">
        <v>22</v>
      </c>
      <c r="D118">
        <v>1</v>
      </c>
      <c r="E118" s="10">
        <v>0.86402173857092024</v>
      </c>
      <c r="F118" s="10">
        <v>0.90287378022491593</v>
      </c>
      <c r="G118" s="10">
        <v>0.75491468376470305</v>
      </c>
      <c r="H118" s="10">
        <v>9.259414080203001E-3</v>
      </c>
      <c r="I118" s="10">
        <v>0.16185829944388011</v>
      </c>
      <c r="J118" s="10">
        <v>6.8104747547644548E-2</v>
      </c>
      <c r="K118" s="10">
        <v>0.20582634303355923</v>
      </c>
      <c r="L118" s="10">
        <v>0.41556666143172016</v>
      </c>
      <c r="M118" s="10">
        <v>0.57311210493098586</v>
      </c>
      <c r="N118" s="10">
        <v>0.44513678135425133</v>
      </c>
      <c r="O118" s="10">
        <v>0.5253619585323116</v>
      </c>
      <c r="P118" s="10">
        <v>0.48979437656231728</v>
      </c>
      <c r="Q118" s="10">
        <v>55.285348892199998</v>
      </c>
      <c r="R118" s="10">
        <v>64.678605023599999</v>
      </c>
      <c r="S118" s="10">
        <v>50.899029226899998</v>
      </c>
      <c r="T118" s="10">
        <v>62.916387670200002</v>
      </c>
      <c r="U118" s="10">
        <v>94.514875524199994</v>
      </c>
      <c r="V118" s="10">
        <v>50.384123858300001</v>
      </c>
      <c r="W118" s="10">
        <v>28.42671507</v>
      </c>
      <c r="X118" s="10">
        <v>-26.129100940000001</v>
      </c>
    </row>
    <row r="119" spans="1:24" x14ac:dyDescent="0.45">
      <c r="A119">
        <v>79700097</v>
      </c>
      <c r="B119" t="s">
        <v>22</v>
      </c>
      <c r="D119">
        <v>1</v>
      </c>
      <c r="E119" s="10">
        <v>0.10669906655065668</v>
      </c>
      <c r="F119" s="10">
        <v>3.8660454628401467E-2</v>
      </c>
      <c r="G119" s="10">
        <v>0.76497860190600964</v>
      </c>
      <c r="H119" s="10">
        <v>1.0251341192005216E-2</v>
      </c>
      <c r="I119" s="10">
        <v>8.915934562622331E-3</v>
      </c>
      <c r="J119" s="10">
        <v>5.76129113918049E-3</v>
      </c>
      <c r="K119" s="10">
        <v>5.758605575151763E-2</v>
      </c>
      <c r="L119" s="10">
        <v>0.51792757892907226</v>
      </c>
      <c r="M119" s="10">
        <v>0.76103713720808863</v>
      </c>
      <c r="N119" s="10">
        <v>0.58872771411050917</v>
      </c>
      <c r="O119" s="10">
        <v>0.84878933808332058</v>
      </c>
      <c r="P119" s="10">
        <v>0.67912044208274769</v>
      </c>
      <c r="Q119" s="10">
        <v>34.838448143000001</v>
      </c>
      <c r="R119" s="10">
        <v>66.848266601600002</v>
      </c>
      <c r="S119" s="10">
        <v>49.865303039600001</v>
      </c>
      <c r="T119" s="10">
        <v>71.045547485399993</v>
      </c>
      <c r="U119" s="10">
        <v>93.292518615700004</v>
      </c>
      <c r="V119" s="10">
        <v>53.189697265600003</v>
      </c>
      <c r="W119" s="10">
        <v>28.36600722</v>
      </c>
      <c r="X119" s="10">
        <v>-26.22739997</v>
      </c>
    </row>
    <row r="120" spans="1:24" x14ac:dyDescent="0.45">
      <c r="A120">
        <v>79700098</v>
      </c>
      <c r="B120" t="s">
        <v>22</v>
      </c>
      <c r="D120">
        <v>1</v>
      </c>
      <c r="E120" s="10">
        <v>0.45740274136060394</v>
      </c>
      <c r="F120" s="10">
        <v>0.26695282236537654</v>
      </c>
      <c r="G120" s="10">
        <v>0.7668786135045641</v>
      </c>
      <c r="H120" s="10">
        <v>8.2655672696363175E-4</v>
      </c>
      <c r="I120" s="10">
        <v>5.0172352082924034E-3</v>
      </c>
      <c r="J120" s="10">
        <v>1.7261512631712682E-2</v>
      </c>
      <c r="K120" s="10">
        <v>7.6845792847848704E-2</v>
      </c>
      <c r="L120" s="10">
        <v>0.55197393229486547</v>
      </c>
      <c r="M120" s="10">
        <v>0.84867865226118067</v>
      </c>
      <c r="N120" s="10">
        <v>0.61473772346039934</v>
      </c>
      <c r="O120" s="10">
        <v>0.8139211894659335</v>
      </c>
      <c r="P120" s="10">
        <v>0.70732787437059486</v>
      </c>
      <c r="Q120" s="10">
        <v>35.6587600708</v>
      </c>
      <c r="R120" s="10">
        <v>69.723819732699994</v>
      </c>
      <c r="S120" s="10">
        <v>46.827627182000001</v>
      </c>
      <c r="T120" s="10">
        <v>74.209546225400004</v>
      </c>
      <c r="U120" s="10">
        <v>96.522518884600004</v>
      </c>
      <c r="V120" s="10">
        <v>61.335594268100003</v>
      </c>
      <c r="W120" s="10">
        <v>28.423708040000001</v>
      </c>
      <c r="X120" s="10">
        <v>-26.359895430000002</v>
      </c>
    </row>
    <row r="121" spans="1:24" x14ac:dyDescent="0.45">
      <c r="A121">
        <v>79700101</v>
      </c>
      <c r="B121" t="s">
        <v>22</v>
      </c>
      <c r="D121">
        <v>1</v>
      </c>
      <c r="E121" s="10">
        <v>0.65610916621234749</v>
      </c>
      <c r="F121" s="10">
        <v>0.51773858399950767</v>
      </c>
      <c r="G121" s="10">
        <v>0.62168298068482608</v>
      </c>
      <c r="H121" s="10">
        <v>2.4217246638236171E-4</v>
      </c>
      <c r="I121" s="10">
        <v>0.47657556062304424</v>
      </c>
      <c r="J121" s="10">
        <v>5.9146961957292264E-2</v>
      </c>
      <c r="K121" s="10">
        <v>0.19313365106587976</v>
      </c>
      <c r="L121" s="10">
        <v>0.41961691193094935</v>
      </c>
      <c r="M121" s="10">
        <v>0.54610284830688882</v>
      </c>
      <c r="N121" s="10">
        <v>0.42676046114784832</v>
      </c>
      <c r="O121" s="10">
        <v>0.59958622146278484</v>
      </c>
      <c r="P121" s="10">
        <v>0.49801661071211789</v>
      </c>
      <c r="Q121" s="10">
        <v>48.648670196499999</v>
      </c>
      <c r="R121" s="10">
        <v>68.4941095625</v>
      </c>
      <c r="S121" s="10">
        <v>54.396105221299997</v>
      </c>
      <c r="T121" s="10">
        <v>72.782890592300006</v>
      </c>
      <c r="U121" s="10">
        <v>86.337594985999999</v>
      </c>
      <c r="V121" s="10">
        <v>60.459837232300004</v>
      </c>
      <c r="W121" s="10">
        <v>28.161701579999999</v>
      </c>
      <c r="X121" s="10">
        <v>-26.399709900000001</v>
      </c>
    </row>
    <row r="122" spans="1:24" x14ac:dyDescent="0.45">
      <c r="A122">
        <v>79800001</v>
      </c>
      <c r="B122" t="s">
        <v>38</v>
      </c>
      <c r="D122">
        <v>1</v>
      </c>
      <c r="E122" s="10">
        <v>0.55558461621829403</v>
      </c>
      <c r="F122" s="10">
        <v>2.8363287290668206E-2</v>
      </c>
      <c r="G122" s="10">
        <v>0.6714141013743754</v>
      </c>
      <c r="H122" s="10">
        <v>5.477700634845652E-4</v>
      </c>
      <c r="I122" s="10">
        <v>0.37679533418121569</v>
      </c>
      <c r="J122" s="10">
        <v>5.7535969395082799E-2</v>
      </c>
      <c r="K122" s="10">
        <v>4.7446932098047068E-2</v>
      </c>
      <c r="L122" s="10">
        <v>0.43722861249803974</v>
      </c>
      <c r="M122" s="10">
        <v>0.51289983158185815</v>
      </c>
      <c r="N122" s="10">
        <v>0.41118470678905772</v>
      </c>
      <c r="O122" s="10">
        <v>0.62730534072037825</v>
      </c>
      <c r="P122" s="10">
        <v>0.49715462289733348</v>
      </c>
      <c r="Q122" s="10">
        <v>21.1171398163</v>
      </c>
      <c r="R122" s="10">
        <v>39.514319692299999</v>
      </c>
      <c r="S122" s="10">
        <v>34.334405762800003</v>
      </c>
      <c r="T122" s="10">
        <v>42.494875499199999</v>
      </c>
      <c r="U122" s="10">
        <v>49.441881997199999</v>
      </c>
      <c r="V122" s="10">
        <v>31.7861209597</v>
      </c>
      <c r="W122" s="10">
        <v>27.8487133</v>
      </c>
      <c r="X122" s="10">
        <v>-26.490947049999999</v>
      </c>
    </row>
    <row r="123" spans="1:24" x14ac:dyDescent="0.45">
      <c r="A123">
        <v>79800002</v>
      </c>
      <c r="B123" t="s">
        <v>38</v>
      </c>
      <c r="D123">
        <v>1</v>
      </c>
      <c r="E123" s="10">
        <v>0.71637368737886953</v>
      </c>
      <c r="F123" s="10">
        <v>2.8934559591649568E-2</v>
      </c>
      <c r="G123" s="10">
        <v>0.65138289098349145</v>
      </c>
      <c r="H123" s="10">
        <v>1.2349185981365301E-3</v>
      </c>
      <c r="I123" s="10">
        <v>6.8320066961371259E-2</v>
      </c>
      <c r="J123" s="10">
        <v>6.6389159922863358E-2</v>
      </c>
      <c r="K123" s="10">
        <v>5.6083000523622598E-2</v>
      </c>
      <c r="L123" s="10">
        <v>0.42659636143712648</v>
      </c>
      <c r="M123" s="10">
        <v>0.47543822439297012</v>
      </c>
      <c r="N123" s="10">
        <v>0.42569391341830837</v>
      </c>
      <c r="O123" s="10">
        <v>0.59779311867323348</v>
      </c>
      <c r="P123" s="10">
        <v>0.48138040448040964</v>
      </c>
      <c r="Q123" s="10">
        <v>22.137361526500001</v>
      </c>
      <c r="R123" s="10">
        <v>42.106239954599999</v>
      </c>
      <c r="S123" s="10">
        <v>35.356732527399998</v>
      </c>
      <c r="T123" s="10">
        <v>45.163065751399998</v>
      </c>
      <c r="U123" s="10">
        <v>53.868357499399998</v>
      </c>
      <c r="V123" s="10">
        <v>34.036805629699998</v>
      </c>
      <c r="W123" s="10">
        <v>27.875666150000001</v>
      </c>
      <c r="X123" s="10">
        <v>-26.507364599999999</v>
      </c>
    </row>
    <row r="124" spans="1:24" x14ac:dyDescent="0.45">
      <c r="A124">
        <v>79800003</v>
      </c>
      <c r="B124" t="s">
        <v>38</v>
      </c>
      <c r="D124">
        <v>1</v>
      </c>
      <c r="E124" s="10">
        <v>0.75549681352019271</v>
      </c>
      <c r="F124" s="10">
        <v>1.600345227289806E-2</v>
      </c>
      <c r="G124" s="10">
        <v>0.69573228777014473</v>
      </c>
      <c r="H124" s="10">
        <v>1.1786911017573735E-2</v>
      </c>
      <c r="I124" s="10">
        <v>0.2362667996410279</v>
      </c>
      <c r="J124" s="10">
        <v>6.9831778522774265E-2</v>
      </c>
      <c r="K124" s="10">
        <v>0.14408335016218152</v>
      </c>
      <c r="L124" s="10">
        <v>0.46820089564021666</v>
      </c>
      <c r="M124" s="10">
        <v>0.46606255305034905</v>
      </c>
      <c r="N124" s="10">
        <v>0.41279326584911735</v>
      </c>
      <c r="O124" s="10">
        <v>0.61609463621492444</v>
      </c>
      <c r="P124" s="10">
        <v>0.49078783768865186</v>
      </c>
      <c r="Q124" s="10">
        <v>20.418024063099999</v>
      </c>
      <c r="R124" s="10">
        <v>40.500788839199998</v>
      </c>
      <c r="S124" s="10">
        <v>35.119311884799998</v>
      </c>
      <c r="T124" s="10">
        <v>43.128948813999997</v>
      </c>
      <c r="U124" s="10">
        <v>50.597660867800002</v>
      </c>
      <c r="V124" s="10">
        <v>33.1572390105</v>
      </c>
      <c r="W124" s="10">
        <v>27.866780139999999</v>
      </c>
      <c r="X124" s="10">
        <v>-26.480483589999999</v>
      </c>
    </row>
    <row r="125" spans="1:24" x14ac:dyDescent="0.45">
      <c r="A125">
        <v>79800004</v>
      </c>
      <c r="B125" t="s">
        <v>38</v>
      </c>
      <c r="D125">
        <v>1</v>
      </c>
      <c r="E125" s="10">
        <v>0.72435303311786647</v>
      </c>
      <c r="F125" s="10">
        <v>1.6428332332609735E-2</v>
      </c>
      <c r="G125" s="10">
        <v>0.74434693639060645</v>
      </c>
      <c r="H125" s="10">
        <v>2.3813493255037833E-3</v>
      </c>
      <c r="I125" s="10">
        <v>0.18462106134755496</v>
      </c>
      <c r="J125" s="10">
        <v>6.0329638615091323E-2</v>
      </c>
      <c r="K125" s="10">
        <v>3.4892329038574393E-2</v>
      </c>
      <c r="L125" s="10">
        <v>0.44342696419794309</v>
      </c>
      <c r="M125" s="10">
        <v>0.42692616020589214</v>
      </c>
      <c r="N125" s="10">
        <v>0.38971943037826773</v>
      </c>
      <c r="O125" s="10">
        <v>0.55695162131589249</v>
      </c>
      <c r="P125" s="10">
        <v>0.45425604402449887</v>
      </c>
      <c r="Q125" s="10">
        <v>20.035278320300002</v>
      </c>
      <c r="R125" s="10">
        <v>39.160710248100003</v>
      </c>
      <c r="S125" s="10">
        <v>35.013412649000003</v>
      </c>
      <c r="T125" s="10">
        <v>41.571942589499997</v>
      </c>
      <c r="U125" s="10">
        <v>47.797132492099998</v>
      </c>
      <c r="V125" s="10">
        <v>32.260358637000003</v>
      </c>
      <c r="W125" s="10">
        <v>27.856712229999999</v>
      </c>
      <c r="X125" s="10">
        <v>-26.458546479999999</v>
      </c>
    </row>
    <row r="126" spans="1:24" x14ac:dyDescent="0.45">
      <c r="A126">
        <v>79800006</v>
      </c>
      <c r="B126" t="s">
        <v>38</v>
      </c>
      <c r="D126">
        <v>1</v>
      </c>
      <c r="E126" s="10">
        <v>0.10542151767139407</v>
      </c>
      <c r="F126" s="10">
        <v>0.24774674655263543</v>
      </c>
      <c r="G126" s="10">
        <v>0.77381561540122512</v>
      </c>
      <c r="H126" s="10">
        <v>8.0204940472145426E-3</v>
      </c>
      <c r="I126" s="10">
        <v>0.37599809577033622</v>
      </c>
      <c r="J126" s="10">
        <v>8.0042437320081948E-3</v>
      </c>
      <c r="K126" s="10">
        <v>6.008427227505745E-2</v>
      </c>
      <c r="L126" s="10">
        <v>0.4773744462174746</v>
      </c>
      <c r="M126" s="10">
        <v>0.66313374306347861</v>
      </c>
      <c r="N126" s="10">
        <v>0.45738366582377893</v>
      </c>
      <c r="O126" s="10">
        <v>0.7780024603936051</v>
      </c>
      <c r="P126" s="10">
        <v>0.59397357887458435</v>
      </c>
      <c r="Q126" s="10">
        <v>21.5741171837</v>
      </c>
      <c r="R126" s="10">
        <v>41.084658541000003</v>
      </c>
      <c r="S126" s="10">
        <v>36.5867530278</v>
      </c>
      <c r="T126" s="10">
        <v>42.861332457400003</v>
      </c>
      <c r="U126" s="10">
        <v>49.7325807299</v>
      </c>
      <c r="V126" s="10">
        <v>35.157969856299999</v>
      </c>
      <c r="W126" s="10">
        <v>27.88869639</v>
      </c>
      <c r="X126" s="10">
        <v>-26.42686445</v>
      </c>
    </row>
    <row r="127" spans="1:24" x14ac:dyDescent="0.45">
      <c r="A127">
        <v>79800007</v>
      </c>
      <c r="B127" t="s">
        <v>38</v>
      </c>
      <c r="D127">
        <v>1</v>
      </c>
      <c r="E127" s="10">
        <v>0.6349427097985364</v>
      </c>
      <c r="F127" s="10">
        <v>0.11491341621271584</v>
      </c>
      <c r="G127" s="10">
        <v>0.78517378038225338</v>
      </c>
      <c r="H127" s="10">
        <v>2.2051031431989405E-2</v>
      </c>
      <c r="I127" s="10">
        <v>0.37103084982169238</v>
      </c>
      <c r="J127" s="10">
        <v>4.0559502529034466E-2</v>
      </c>
      <c r="K127" s="10">
        <v>8.9135726809700458E-2</v>
      </c>
      <c r="L127" s="10">
        <v>0.54211548649679786</v>
      </c>
      <c r="M127" s="10">
        <v>0.67624870640575607</v>
      </c>
      <c r="N127" s="10">
        <v>0.55410277750112558</v>
      </c>
      <c r="O127" s="10">
        <v>0.74691072867747932</v>
      </c>
      <c r="P127" s="10">
        <v>0.62984442477028968</v>
      </c>
      <c r="Q127" s="10">
        <v>20.4548339844</v>
      </c>
      <c r="R127" s="10">
        <v>37.808445563699998</v>
      </c>
      <c r="S127" s="10">
        <v>34.484677926099998</v>
      </c>
      <c r="T127" s="10">
        <v>39.919387426100002</v>
      </c>
      <c r="U127" s="10">
        <v>45.198354378700003</v>
      </c>
      <c r="V127" s="10">
        <v>31.6313623771</v>
      </c>
      <c r="W127" s="10">
        <v>27.849149919999999</v>
      </c>
      <c r="X127" s="10">
        <v>-26.413357600000001</v>
      </c>
    </row>
    <row r="128" spans="1:24" x14ac:dyDescent="0.45">
      <c r="A128">
        <v>79800009</v>
      </c>
      <c r="B128" t="s">
        <v>38</v>
      </c>
      <c r="D128">
        <v>1</v>
      </c>
      <c r="E128" s="10">
        <v>0.25219265395304175</v>
      </c>
      <c r="F128" s="10">
        <v>3.8397794633109772E-2</v>
      </c>
      <c r="G128" s="10">
        <v>0.68049949399507936</v>
      </c>
      <c r="H128" s="10">
        <v>8.1854070306542522E-3</v>
      </c>
      <c r="I128" s="10">
        <v>2.9600532740697637E-2</v>
      </c>
      <c r="J128" s="10">
        <v>2.0065608227444378E-2</v>
      </c>
      <c r="K128" s="10">
        <v>4.4073849863845729E-2</v>
      </c>
      <c r="L128" s="10">
        <v>0.38014947128035664</v>
      </c>
      <c r="M128" s="10">
        <v>0.802217784241959</v>
      </c>
      <c r="N128" s="10">
        <v>0.64132028950959563</v>
      </c>
      <c r="O128" s="10">
        <v>0.67306629662824369</v>
      </c>
      <c r="P128" s="10">
        <v>0.62418846041503873</v>
      </c>
      <c r="Q128" s="10">
        <v>30.991964816999999</v>
      </c>
      <c r="R128" s="10">
        <v>41.396640702799999</v>
      </c>
      <c r="S128" s="10">
        <v>37.048782423399999</v>
      </c>
      <c r="T128" s="10">
        <v>41.771883945799999</v>
      </c>
      <c r="U128" s="10">
        <v>50.187926946899999</v>
      </c>
      <c r="V128" s="10">
        <v>36.577968447799996</v>
      </c>
      <c r="W128" s="10">
        <v>27.857400340000002</v>
      </c>
      <c r="X128" s="10">
        <v>-26.31722967</v>
      </c>
    </row>
    <row r="129" spans="1:24" x14ac:dyDescent="0.45">
      <c r="A129">
        <v>79800010</v>
      </c>
      <c r="B129" t="s">
        <v>38</v>
      </c>
      <c r="D129">
        <v>1</v>
      </c>
      <c r="E129" s="10">
        <v>0.3009010400908782</v>
      </c>
      <c r="F129" s="10">
        <v>0.34142357216059688</v>
      </c>
      <c r="G129" s="10">
        <v>0.68755797041418909</v>
      </c>
      <c r="H129" s="10">
        <v>2.5262598852100953E-2</v>
      </c>
      <c r="I129" s="10">
        <v>0.16689033816788387</v>
      </c>
      <c r="J129" s="10">
        <v>3.0537368125751779E-2</v>
      </c>
      <c r="K129" s="10">
        <v>2.004474874201146E-2</v>
      </c>
      <c r="L129" s="10">
        <v>0.35652430035895516</v>
      </c>
      <c r="M129" s="10">
        <v>0.70823261278487226</v>
      </c>
      <c r="N129" s="10">
        <v>0.51806000442974887</v>
      </c>
      <c r="O129" s="10">
        <v>0.5975754726317769</v>
      </c>
      <c r="P129" s="10">
        <v>0.54509809755133831</v>
      </c>
      <c r="Q129" s="10">
        <v>34.521724700900002</v>
      </c>
      <c r="R129" s="10">
        <v>40.081760406500003</v>
      </c>
      <c r="S129" s="10">
        <v>36.492753284700001</v>
      </c>
      <c r="T129" s="10">
        <v>40.072590246399997</v>
      </c>
      <c r="U129" s="10">
        <v>48.554417214700003</v>
      </c>
      <c r="V129" s="10">
        <v>35.207283299099998</v>
      </c>
      <c r="W129" s="10">
        <v>27.837967509999999</v>
      </c>
      <c r="X129" s="10">
        <v>-26.301095780000001</v>
      </c>
    </row>
    <row r="130" spans="1:24" x14ac:dyDescent="0.45">
      <c r="A130">
        <v>79800011</v>
      </c>
      <c r="B130" t="s">
        <v>38</v>
      </c>
      <c r="D130">
        <v>1</v>
      </c>
      <c r="E130" s="10">
        <v>0.70164259079965519</v>
      </c>
      <c r="F130" s="10">
        <v>5.0874264075777787E-3</v>
      </c>
      <c r="G130" s="10">
        <v>0.6987053262058498</v>
      </c>
      <c r="H130" s="10">
        <v>0</v>
      </c>
      <c r="I130" s="10">
        <v>0.26262602922641165</v>
      </c>
      <c r="J130" s="10">
        <v>4.8051562242967513E-2</v>
      </c>
      <c r="K130" s="10">
        <v>5.1914316916083773E-2</v>
      </c>
      <c r="L130" s="10">
        <v>0.41585552766474992</v>
      </c>
      <c r="M130" s="10">
        <v>0.51399579054651534</v>
      </c>
      <c r="N130" s="10">
        <v>0.5354149361616003</v>
      </c>
      <c r="O130" s="10">
        <v>0.68898962341761028</v>
      </c>
      <c r="P130" s="10">
        <v>0.53856396944761897</v>
      </c>
      <c r="Q130" s="10">
        <v>31.1949043274</v>
      </c>
      <c r="R130" s="10">
        <v>42.616497176000003</v>
      </c>
      <c r="S130" s="10">
        <v>37.003181185000003</v>
      </c>
      <c r="T130" s="10">
        <v>42.384166308799998</v>
      </c>
      <c r="U130" s="10">
        <v>52.947299821000001</v>
      </c>
      <c r="V130" s="10">
        <v>38.131341253000002</v>
      </c>
      <c r="W130" s="10">
        <v>27.87122458</v>
      </c>
      <c r="X130" s="10">
        <v>-26.291926109999999</v>
      </c>
    </row>
    <row r="131" spans="1:24" x14ac:dyDescent="0.45">
      <c r="A131">
        <v>79800012</v>
      </c>
      <c r="B131" t="s">
        <v>38</v>
      </c>
      <c r="D131">
        <v>1</v>
      </c>
      <c r="E131" s="10">
        <v>0.8262263984362892</v>
      </c>
      <c r="F131" s="10">
        <v>8.7752470342548801E-3</v>
      </c>
      <c r="G131" s="10">
        <v>0.72529759542766026</v>
      </c>
      <c r="H131" s="10">
        <v>2.4141875750249694E-3</v>
      </c>
      <c r="I131" s="10">
        <v>0.22193890105658767</v>
      </c>
      <c r="J131" s="10">
        <v>0.11114620181747172</v>
      </c>
      <c r="K131" s="10">
        <v>2.8347119384161706E-2</v>
      </c>
      <c r="L131" s="10">
        <v>0.28667826892897852</v>
      </c>
      <c r="M131" s="10">
        <v>0.16882105084986238</v>
      </c>
      <c r="N131" s="10">
        <v>0.26924763531321638</v>
      </c>
      <c r="O131" s="10">
        <v>0.36812665008780598</v>
      </c>
      <c r="P131" s="10">
        <v>0.27321840129496583</v>
      </c>
      <c r="Q131" s="10">
        <v>31.649463653600002</v>
      </c>
      <c r="R131" s="10">
        <v>41.601319885300001</v>
      </c>
      <c r="S131" s="10">
        <v>36.725724411000002</v>
      </c>
      <c r="T131" s="10">
        <v>40.965457534800002</v>
      </c>
      <c r="U131" s="10">
        <v>51.463498306300004</v>
      </c>
      <c r="V131" s="10">
        <v>37.250605773899998</v>
      </c>
      <c r="W131" s="10">
        <v>27.85437284</v>
      </c>
      <c r="X131" s="10">
        <v>-26.28255278</v>
      </c>
    </row>
    <row r="132" spans="1:24" x14ac:dyDescent="0.45">
      <c r="A132">
        <v>79800013</v>
      </c>
      <c r="B132" t="s">
        <v>38</v>
      </c>
      <c r="D132">
        <v>1</v>
      </c>
      <c r="E132" s="10">
        <v>0.50987666372901275</v>
      </c>
      <c r="F132" s="10">
        <v>3.3680174297035762E-3</v>
      </c>
      <c r="G132" s="10">
        <v>0.7044010945390391</v>
      </c>
      <c r="H132" s="10">
        <v>1.6389342656438842E-2</v>
      </c>
      <c r="I132" s="10">
        <v>9.7999460305575326E-3</v>
      </c>
      <c r="J132" s="10">
        <v>5.1739983429093223E-2</v>
      </c>
      <c r="K132" s="10">
        <v>3.139826446539136E-2</v>
      </c>
      <c r="L132" s="10">
        <v>0.31065325879903233</v>
      </c>
      <c r="M132" s="10">
        <v>0.46554509336749511</v>
      </c>
      <c r="N132" s="10">
        <v>0.34752024317986535</v>
      </c>
      <c r="O132" s="10">
        <v>0.45034020439041333</v>
      </c>
      <c r="P132" s="10">
        <v>0.39351469993420152</v>
      </c>
      <c r="Q132" s="10">
        <v>27.8854751587</v>
      </c>
      <c r="R132" s="10">
        <v>41.196514129599997</v>
      </c>
      <c r="S132" s="10">
        <v>36.696670532200002</v>
      </c>
      <c r="T132" s="10">
        <v>40.338729858400001</v>
      </c>
      <c r="U132" s="10">
        <v>50.825477600100001</v>
      </c>
      <c r="V132" s="10">
        <v>36.925182342500001</v>
      </c>
      <c r="W132" s="10">
        <v>27.81775992</v>
      </c>
      <c r="X132" s="10">
        <v>-26.283993089999999</v>
      </c>
    </row>
    <row r="133" spans="1:24" x14ac:dyDescent="0.45">
      <c r="A133">
        <v>79800014</v>
      </c>
      <c r="B133" t="s">
        <v>38</v>
      </c>
      <c r="D133">
        <v>1</v>
      </c>
      <c r="E133" s="10">
        <v>0.58346169227230982</v>
      </c>
      <c r="F133" s="10">
        <v>7.0505488278481661E-3</v>
      </c>
      <c r="G133" s="10">
        <v>0.71834402913583428</v>
      </c>
      <c r="H133" s="10">
        <v>3.8953828599555128E-3</v>
      </c>
      <c r="I133" s="10">
        <v>7.2805061275006818E-3</v>
      </c>
      <c r="J133" s="10">
        <v>5.823087121471511E-2</v>
      </c>
      <c r="K133" s="10">
        <v>7.8884032403485863E-2</v>
      </c>
      <c r="L133" s="10">
        <v>0.30287670674429212</v>
      </c>
      <c r="M133" s="10">
        <v>0.60840385814459141</v>
      </c>
      <c r="N133" s="10">
        <v>0.54036681735774439</v>
      </c>
      <c r="O133" s="10">
        <v>0.54646515168992948</v>
      </c>
      <c r="P133" s="10">
        <v>0.49952813348413938</v>
      </c>
      <c r="Q133" s="10">
        <v>27.441473960900002</v>
      </c>
      <c r="R133" s="10">
        <v>39.552756861600002</v>
      </c>
      <c r="S133" s="10">
        <v>36.644539080199998</v>
      </c>
      <c r="T133" s="10">
        <v>38.113000167000003</v>
      </c>
      <c r="U133" s="10">
        <v>47.984367169800002</v>
      </c>
      <c r="V133" s="10">
        <v>35.4691238403</v>
      </c>
      <c r="W133" s="10">
        <v>27.823883210000002</v>
      </c>
      <c r="X133" s="10">
        <v>-26.267755579999999</v>
      </c>
    </row>
    <row r="134" spans="1:24" x14ac:dyDescent="0.45">
      <c r="A134">
        <v>79800015</v>
      </c>
      <c r="B134" t="s">
        <v>38</v>
      </c>
      <c r="D134">
        <v>1</v>
      </c>
      <c r="E134" s="10">
        <v>0.87073493903986898</v>
      </c>
      <c r="F134" s="10">
        <v>5.111915418130184E-3</v>
      </c>
      <c r="G134" s="10">
        <v>0.76874408257088689</v>
      </c>
      <c r="H134" s="10">
        <v>0</v>
      </c>
      <c r="I134" s="10">
        <v>0.27435703267274242</v>
      </c>
      <c r="J134" s="10">
        <v>0.14304104038618479</v>
      </c>
      <c r="K134" s="10">
        <v>5.5047087023030544E-2</v>
      </c>
      <c r="L134" s="10">
        <v>0.27301491738997818</v>
      </c>
      <c r="M134" s="10">
        <v>0.23429577343326941</v>
      </c>
      <c r="N134" s="10">
        <v>0.24742406664994995</v>
      </c>
      <c r="O134" s="10">
        <v>0.33137549159871371</v>
      </c>
      <c r="P134" s="10">
        <v>0.27152756226797781</v>
      </c>
      <c r="Q134" s="10">
        <v>29.5456616084</v>
      </c>
      <c r="R134" s="10">
        <v>41.933220545499999</v>
      </c>
      <c r="S134" s="10">
        <v>36.6360747019</v>
      </c>
      <c r="T134" s="10">
        <v>41.020729700700002</v>
      </c>
      <c r="U134" s="10">
        <v>52.335516611700001</v>
      </c>
      <c r="V134" s="10">
        <v>37.740565617900003</v>
      </c>
      <c r="W134" s="10">
        <v>27.860471069999999</v>
      </c>
      <c r="X134" s="10">
        <v>-26.27249832</v>
      </c>
    </row>
    <row r="135" spans="1:24" x14ac:dyDescent="0.45">
      <c r="A135">
        <v>79800016</v>
      </c>
      <c r="B135" t="s">
        <v>38</v>
      </c>
      <c r="D135">
        <v>1</v>
      </c>
      <c r="E135" s="10">
        <v>0.81140904596762831</v>
      </c>
      <c r="F135" s="10">
        <v>1.3255098564759716E-3</v>
      </c>
      <c r="G135" s="10">
        <v>0.75055099343702369</v>
      </c>
      <c r="H135" s="10">
        <v>4.5887460620593025E-3</v>
      </c>
      <c r="I135" s="10">
        <v>0.13753005646402258</v>
      </c>
      <c r="J135" s="10">
        <v>9.7083401133002664E-2</v>
      </c>
      <c r="K135" s="10">
        <v>0.13413311779149215</v>
      </c>
      <c r="L135" s="10">
        <v>0.3710037349363598</v>
      </c>
      <c r="M135" s="10">
        <v>0.45497373983600253</v>
      </c>
      <c r="N135" s="10">
        <v>0.40596921519841639</v>
      </c>
      <c r="O135" s="10">
        <v>0.54449695205958004</v>
      </c>
      <c r="P135" s="10">
        <v>0.44411091050758966</v>
      </c>
      <c r="Q135" s="10">
        <v>29.597060203600002</v>
      </c>
      <c r="R135" s="10">
        <v>40.8951309204</v>
      </c>
      <c r="S135" s="10">
        <v>36.6631153107</v>
      </c>
      <c r="T135" s="10">
        <v>39.620634841899999</v>
      </c>
      <c r="U135" s="10">
        <v>50.491231918300002</v>
      </c>
      <c r="V135" s="10">
        <v>36.8055423737</v>
      </c>
      <c r="W135" s="10">
        <v>27.846508979999999</v>
      </c>
      <c r="X135" s="10">
        <v>-26.269266720000001</v>
      </c>
    </row>
    <row r="136" spans="1:24" x14ac:dyDescent="0.45">
      <c r="A136">
        <v>79800017</v>
      </c>
      <c r="B136" t="s">
        <v>38</v>
      </c>
      <c r="D136">
        <v>1</v>
      </c>
      <c r="E136" s="10">
        <v>0.67073624481605776</v>
      </c>
      <c r="F136" s="10">
        <v>0.19375691803602582</v>
      </c>
      <c r="G136" s="10">
        <v>0.69071760265686633</v>
      </c>
      <c r="H136" s="10">
        <v>2.5957149736685354E-3</v>
      </c>
      <c r="I136" s="10">
        <v>0.18273495826191918</v>
      </c>
      <c r="J136" s="10">
        <v>8.8426442521881227E-2</v>
      </c>
      <c r="K136" s="10">
        <v>6.4392018826626971E-2</v>
      </c>
      <c r="L136" s="10">
        <v>0.36729309078104505</v>
      </c>
      <c r="M136" s="10">
        <v>0.39107468271092072</v>
      </c>
      <c r="N136" s="10">
        <v>0.5152388247652917</v>
      </c>
      <c r="O136" s="10">
        <v>0.61241896539753471</v>
      </c>
      <c r="P136" s="10">
        <v>0.47150639091369806</v>
      </c>
      <c r="Q136" s="10">
        <v>33.292647425299997</v>
      </c>
      <c r="R136" s="10">
        <v>44.018394978800004</v>
      </c>
      <c r="S136" s="10">
        <v>37.368382008899999</v>
      </c>
      <c r="T136" s="10">
        <v>43.955922953300004</v>
      </c>
      <c r="U136" s="10">
        <v>55.258692677799999</v>
      </c>
      <c r="V136" s="10">
        <v>39.490580240900002</v>
      </c>
      <c r="W136" s="10">
        <v>27.89136676</v>
      </c>
      <c r="X136" s="10">
        <v>-26.294468599999998</v>
      </c>
    </row>
    <row r="137" spans="1:24" x14ac:dyDescent="0.45">
      <c r="A137">
        <v>79800018</v>
      </c>
      <c r="B137" t="s">
        <v>38</v>
      </c>
      <c r="D137">
        <v>1</v>
      </c>
      <c r="E137" s="10">
        <v>0.66550646638150046</v>
      </c>
      <c r="F137" s="10">
        <v>1.1147261233140537E-2</v>
      </c>
      <c r="G137" s="10">
        <v>0.72865583750237239</v>
      </c>
      <c r="H137" s="10">
        <v>5.6318088737983296E-4</v>
      </c>
      <c r="I137" s="10">
        <v>8.3097891875980448E-2</v>
      </c>
      <c r="J137" s="10">
        <v>6.2786033767394556E-2</v>
      </c>
      <c r="K137" s="10">
        <v>6.9697920818141065E-2</v>
      </c>
      <c r="L137" s="10">
        <v>0.45190812978514872</v>
      </c>
      <c r="M137" s="10">
        <v>0.4905575769877033</v>
      </c>
      <c r="N137" s="10">
        <v>0.51343008795811695</v>
      </c>
      <c r="O137" s="10">
        <v>0.63304822029783225</v>
      </c>
      <c r="P137" s="10">
        <v>0.52223600375720025</v>
      </c>
      <c r="Q137" s="10">
        <v>32.456040382399998</v>
      </c>
      <c r="R137" s="10">
        <v>45.202202479</v>
      </c>
      <c r="S137" s="10">
        <v>37.6095479329</v>
      </c>
      <c r="T137" s="10">
        <v>45.1584157944</v>
      </c>
      <c r="U137" s="10">
        <v>57.350820064499999</v>
      </c>
      <c r="V137" s="10">
        <v>40.6900204023</v>
      </c>
      <c r="W137" s="10">
        <v>27.909648659999998</v>
      </c>
      <c r="X137" s="10">
        <v>-26.290748669999999</v>
      </c>
    </row>
    <row r="138" spans="1:24" x14ac:dyDescent="0.45">
      <c r="A138">
        <v>79800019</v>
      </c>
      <c r="B138" t="s">
        <v>38</v>
      </c>
      <c r="D138">
        <v>1</v>
      </c>
      <c r="E138" s="10">
        <v>0.57368957449546298</v>
      </c>
      <c r="F138" s="10">
        <v>7.6659077296763203E-2</v>
      </c>
      <c r="G138" s="10">
        <v>0.7118587935581645</v>
      </c>
      <c r="H138" s="10">
        <v>5.8433966748712228E-2</v>
      </c>
      <c r="I138" s="10">
        <v>9.1869043437346073E-2</v>
      </c>
      <c r="J138" s="10">
        <v>7.4289220167680595E-2</v>
      </c>
      <c r="K138" s="10">
        <v>2.9633614659745507E-2</v>
      </c>
      <c r="L138" s="10">
        <v>0.33342344420719161</v>
      </c>
      <c r="M138" s="10">
        <v>0.70037759116112153</v>
      </c>
      <c r="N138" s="10">
        <v>0.56185249280988625</v>
      </c>
      <c r="O138" s="10">
        <v>0.64735317626949151</v>
      </c>
      <c r="P138" s="10">
        <v>0.56075167611192267</v>
      </c>
      <c r="Q138" s="10">
        <v>28.579385757400001</v>
      </c>
      <c r="R138" s="10">
        <v>45.126045227100001</v>
      </c>
      <c r="S138" s="10">
        <v>36.6554794312</v>
      </c>
      <c r="T138" s="10">
        <v>45.0412940979</v>
      </c>
      <c r="U138" s="10">
        <v>58.155475616499999</v>
      </c>
      <c r="V138" s="10">
        <v>40.651927948000001</v>
      </c>
      <c r="W138" s="10">
        <v>27.881782829999999</v>
      </c>
      <c r="X138" s="10">
        <v>-26.272141919999999</v>
      </c>
    </row>
    <row r="139" spans="1:24" x14ac:dyDescent="0.45">
      <c r="A139">
        <v>79800020</v>
      </c>
      <c r="B139" t="s">
        <v>38</v>
      </c>
      <c r="D139">
        <v>1</v>
      </c>
      <c r="E139" s="10">
        <v>0.87156821217154157</v>
      </c>
      <c r="F139" s="10">
        <v>8.2242790492335505E-3</v>
      </c>
      <c r="G139" s="10">
        <v>0.76144901016866684</v>
      </c>
      <c r="H139" s="10">
        <v>0</v>
      </c>
      <c r="I139" s="10">
        <v>8.5864490828783682E-2</v>
      </c>
      <c r="J139" s="10">
        <v>0.12824072481603277</v>
      </c>
      <c r="K139" s="10">
        <v>0.16237716842930233</v>
      </c>
      <c r="L139" s="10">
        <v>0.28050697713752415</v>
      </c>
      <c r="M139" s="10">
        <v>0.28183152015114243</v>
      </c>
      <c r="N139" s="10">
        <v>0.26057015618551288</v>
      </c>
      <c r="O139" s="10">
        <v>0.36620105521670054</v>
      </c>
      <c r="P139" s="10">
        <v>0.29727742717271999</v>
      </c>
      <c r="Q139" s="10">
        <v>27.592117521500001</v>
      </c>
      <c r="R139" s="10">
        <v>39.665572696300003</v>
      </c>
      <c r="S139" s="10">
        <v>36.822726779500002</v>
      </c>
      <c r="T139" s="10">
        <v>37.363132900700002</v>
      </c>
      <c r="U139" s="10">
        <v>48.141509585900003</v>
      </c>
      <c r="V139" s="10">
        <v>36.334922366699999</v>
      </c>
      <c r="W139" s="10">
        <v>27.831449540000001</v>
      </c>
      <c r="X139" s="10">
        <v>-26.25657782</v>
      </c>
    </row>
    <row r="140" spans="1:24" x14ac:dyDescent="0.45">
      <c r="A140">
        <v>79800021</v>
      </c>
      <c r="B140" t="s">
        <v>38</v>
      </c>
      <c r="D140">
        <v>1</v>
      </c>
      <c r="E140" s="10">
        <v>0.78260734850891678</v>
      </c>
      <c r="F140" s="10">
        <v>1.4732111542218916E-2</v>
      </c>
      <c r="G140" s="10">
        <v>0.77094472706800432</v>
      </c>
      <c r="H140" s="10">
        <v>2.5946256582803995E-3</v>
      </c>
      <c r="I140" s="10">
        <v>0.1880675763176064</v>
      </c>
      <c r="J140" s="10">
        <v>0.1120181877535612</v>
      </c>
      <c r="K140" s="10">
        <v>0.21887101361856345</v>
      </c>
      <c r="L140" s="10">
        <v>0.31875993222179549</v>
      </c>
      <c r="M140" s="10">
        <v>0.39467316506120664</v>
      </c>
      <c r="N140" s="10">
        <v>0.32672011320017957</v>
      </c>
      <c r="O140" s="10">
        <v>0.43027764107285987</v>
      </c>
      <c r="P140" s="10">
        <v>0.3676077128890104</v>
      </c>
      <c r="Q140" s="10">
        <v>28.462629890399999</v>
      </c>
      <c r="R140" s="10">
        <v>40.397412109400001</v>
      </c>
      <c r="S140" s="10">
        <v>36.686912155199998</v>
      </c>
      <c r="T140" s="10">
        <v>38.240520858799997</v>
      </c>
      <c r="U140" s="10">
        <v>49.858186340300001</v>
      </c>
      <c r="V140" s="10">
        <v>36.804026413000003</v>
      </c>
      <c r="W140" s="10">
        <v>27.84574902</v>
      </c>
      <c r="X140" s="10">
        <v>-26.255357530000001</v>
      </c>
    </row>
    <row r="141" spans="1:24" x14ac:dyDescent="0.45">
      <c r="A141">
        <v>79800022</v>
      </c>
      <c r="B141" t="s">
        <v>38</v>
      </c>
      <c r="D141">
        <v>1</v>
      </c>
      <c r="E141" s="10">
        <v>0.70015754371750083</v>
      </c>
      <c r="F141" s="10">
        <v>1.7784631269408609E-3</v>
      </c>
      <c r="G141" s="10">
        <v>0.75004176802356837</v>
      </c>
      <c r="H141" s="10">
        <v>4.1934590867610387E-2</v>
      </c>
      <c r="I141" s="10">
        <v>0.19674068020344673</v>
      </c>
      <c r="J141" s="10">
        <v>7.5273248305727819E-2</v>
      </c>
      <c r="K141" s="10">
        <v>7.0188264530092734E-2</v>
      </c>
      <c r="L141" s="10">
        <v>0.4318180836361471</v>
      </c>
      <c r="M141" s="10">
        <v>0.53473177068466593</v>
      </c>
      <c r="N141" s="10">
        <v>0.43021932250448408</v>
      </c>
      <c r="O141" s="10">
        <v>0.5499314035701578</v>
      </c>
      <c r="P141" s="10">
        <v>0.48667514509886378</v>
      </c>
      <c r="Q141" s="10">
        <v>30.786685943599998</v>
      </c>
      <c r="R141" s="10">
        <v>44.106050603500002</v>
      </c>
      <c r="S141" s="10">
        <v>36.384284299999997</v>
      </c>
      <c r="T141" s="10">
        <v>43.671394123799999</v>
      </c>
      <c r="U141" s="10">
        <v>56.524154663099999</v>
      </c>
      <c r="V141" s="10">
        <v>39.844366185799998</v>
      </c>
      <c r="W141" s="10">
        <v>27.90113929</v>
      </c>
      <c r="X141" s="10">
        <v>-26.271355459999999</v>
      </c>
    </row>
    <row r="142" spans="1:24" x14ac:dyDescent="0.45">
      <c r="A142">
        <v>79800024</v>
      </c>
      <c r="B142" t="s">
        <v>38</v>
      </c>
      <c r="D142">
        <v>1</v>
      </c>
      <c r="E142" s="10">
        <v>0.31467497099764685</v>
      </c>
      <c r="F142" s="10">
        <v>0.22160891631102045</v>
      </c>
      <c r="G142" s="10">
        <v>0.78448619292137556</v>
      </c>
      <c r="H142" s="10">
        <v>0.12129059291231217</v>
      </c>
      <c r="I142" s="10">
        <v>0.79577505199547272</v>
      </c>
      <c r="J142" s="10">
        <v>2.5670074734546501E-2</v>
      </c>
      <c r="K142" s="10">
        <v>3.2555052244343526E-2</v>
      </c>
      <c r="L142" s="10">
        <v>0.4055638269865991</v>
      </c>
      <c r="M142" s="10">
        <v>0.69464860766428671</v>
      </c>
      <c r="N142" s="10">
        <v>0.44220837229332288</v>
      </c>
      <c r="O142" s="10">
        <v>0.6168574975286405</v>
      </c>
      <c r="P142" s="10">
        <v>0.5398195761182123</v>
      </c>
      <c r="Q142" s="10">
        <v>28.863296508800001</v>
      </c>
      <c r="R142" s="10">
        <v>45.795340697</v>
      </c>
      <c r="S142" s="10">
        <v>37.741738557799998</v>
      </c>
      <c r="T142" s="10">
        <v>45.027338504799999</v>
      </c>
      <c r="U142" s="10">
        <v>58.584619204200003</v>
      </c>
      <c r="V142" s="10">
        <v>41.8276650906</v>
      </c>
      <c r="W142" s="10">
        <v>27.932913469999999</v>
      </c>
      <c r="X142" s="10">
        <v>-26.275249110000001</v>
      </c>
    </row>
    <row r="143" spans="1:24" x14ac:dyDescent="0.45">
      <c r="A143">
        <v>79800025</v>
      </c>
      <c r="B143" t="s">
        <v>38</v>
      </c>
      <c r="D143">
        <v>1</v>
      </c>
      <c r="E143" s="10">
        <v>0.55279396975489214</v>
      </c>
      <c r="F143" s="10">
        <v>2.9822020114984592E-2</v>
      </c>
      <c r="G143" s="10">
        <v>0.75334971875734558</v>
      </c>
      <c r="H143" s="10">
        <v>3.0143553848036672E-2</v>
      </c>
      <c r="I143" s="10">
        <v>0.3475396971450424</v>
      </c>
      <c r="J143" s="10">
        <v>7.8356510392309855E-2</v>
      </c>
      <c r="K143" s="10">
        <v>3.815182321942976E-2</v>
      </c>
      <c r="L143" s="10">
        <v>0.37639257314352453</v>
      </c>
      <c r="M143" s="10">
        <v>0.62068268486182698</v>
      </c>
      <c r="N143" s="10">
        <v>0.45439485369172455</v>
      </c>
      <c r="O143" s="10">
        <v>0.58499610039325356</v>
      </c>
      <c r="P143" s="10">
        <v>0.50911655302258241</v>
      </c>
      <c r="Q143" s="10">
        <v>29.8454796286</v>
      </c>
      <c r="R143" s="10">
        <v>43.980674519300003</v>
      </c>
      <c r="S143" s="10">
        <v>35.953856973100002</v>
      </c>
      <c r="T143" s="10">
        <v>43.048480763199997</v>
      </c>
      <c r="U143" s="10">
        <v>56.6765836828</v>
      </c>
      <c r="V143" s="10">
        <v>40.243771048200003</v>
      </c>
      <c r="W143" s="10">
        <v>27.91519503</v>
      </c>
      <c r="X143" s="10">
        <v>-26.259178649999999</v>
      </c>
    </row>
    <row r="144" spans="1:24" x14ac:dyDescent="0.45">
      <c r="A144">
        <v>79800026</v>
      </c>
      <c r="B144" t="s">
        <v>38</v>
      </c>
      <c r="D144">
        <v>1</v>
      </c>
      <c r="E144" s="10">
        <v>0.77066107604186962</v>
      </c>
      <c r="F144" s="10">
        <v>6.0785251782430267E-3</v>
      </c>
      <c r="G144" s="10">
        <v>0.82091531361712666</v>
      </c>
      <c r="H144" s="10">
        <v>2.5192991624426946E-2</v>
      </c>
      <c r="I144" s="10">
        <v>0.22182868285385804</v>
      </c>
      <c r="J144" s="10">
        <v>0.10609781276176518</v>
      </c>
      <c r="K144" s="10">
        <v>4.146521420373437E-2</v>
      </c>
      <c r="L144" s="10">
        <v>0.28828777635607344</v>
      </c>
      <c r="M144" s="10">
        <v>0.40210887876769091</v>
      </c>
      <c r="N144" s="10">
        <v>0.30965625186664725</v>
      </c>
      <c r="O144" s="10">
        <v>0.37724385933776705</v>
      </c>
      <c r="P144" s="10">
        <v>0.34432419158204464</v>
      </c>
      <c r="Q144" s="10">
        <v>25.978010177600002</v>
      </c>
      <c r="R144" s="10">
        <v>44.9956572396</v>
      </c>
      <c r="S144" s="10">
        <v>37.371320996999998</v>
      </c>
      <c r="T144" s="10">
        <v>42.927759442999999</v>
      </c>
      <c r="U144" s="10">
        <v>57.3189577375</v>
      </c>
      <c r="V144" s="10">
        <v>42.3645902361</v>
      </c>
      <c r="W144" s="10">
        <v>27.943955580000001</v>
      </c>
      <c r="X144" s="10">
        <v>-26.253692269999998</v>
      </c>
    </row>
    <row r="145" spans="1:24" x14ac:dyDescent="0.45">
      <c r="A145">
        <v>79800027</v>
      </c>
      <c r="B145" t="s">
        <v>38</v>
      </c>
      <c r="D145">
        <v>1</v>
      </c>
      <c r="E145" s="10">
        <v>0.95044112497439681</v>
      </c>
      <c r="F145" s="10">
        <v>4.9948124596142923E-3</v>
      </c>
      <c r="G145" s="10">
        <v>0.8713444048018496</v>
      </c>
      <c r="H145" s="10">
        <v>0</v>
      </c>
      <c r="I145" s="10">
        <v>0.19951641423955302</v>
      </c>
      <c r="J145" s="10">
        <v>0.17790227599572744</v>
      </c>
      <c r="K145" s="10">
        <v>3.7681842647688049E-2</v>
      </c>
      <c r="L145" s="10">
        <v>0.21997167478007509</v>
      </c>
      <c r="M145" s="10">
        <v>0.14571265590117596</v>
      </c>
      <c r="N145" s="10">
        <v>0.16884823079615813</v>
      </c>
      <c r="O145" s="10">
        <v>0.20587041443025353</v>
      </c>
      <c r="P145" s="10">
        <v>0.1851007439769157</v>
      </c>
      <c r="Q145" s="10">
        <v>27.333036804199999</v>
      </c>
      <c r="R145" s="10">
        <v>44.809336852999998</v>
      </c>
      <c r="S145" s="10">
        <v>37.704674529999998</v>
      </c>
      <c r="T145" s="10">
        <v>41.588990783699998</v>
      </c>
      <c r="U145" s="10">
        <v>56.495447540299999</v>
      </c>
      <c r="V145" s="10">
        <v>43.448233032200001</v>
      </c>
      <c r="W145" s="10">
        <v>27.954768949999998</v>
      </c>
      <c r="X145" s="10">
        <v>-26.24211017</v>
      </c>
    </row>
    <row r="146" spans="1:24" x14ac:dyDescent="0.45">
      <c r="A146">
        <v>79800028</v>
      </c>
      <c r="B146" t="s">
        <v>38</v>
      </c>
      <c r="D146">
        <v>1</v>
      </c>
      <c r="E146" s="10">
        <v>0.8510217823745293</v>
      </c>
      <c r="F146" s="10">
        <v>2.582719498703622E-3</v>
      </c>
      <c r="G146" s="10">
        <v>0.83571128014662333</v>
      </c>
      <c r="H146" s="10">
        <v>2.3281293203998996E-2</v>
      </c>
      <c r="I146" s="10">
        <v>0.36776916696650325</v>
      </c>
      <c r="J146" s="10">
        <v>0.13780777205109029</v>
      </c>
      <c r="K146" s="10">
        <v>5.290099840579638E-2</v>
      </c>
      <c r="L146" s="10">
        <v>0.29246392467332971</v>
      </c>
      <c r="M146" s="10">
        <v>0.35509522462747634</v>
      </c>
      <c r="N146" s="10">
        <v>0.28473293880403933</v>
      </c>
      <c r="O146" s="10">
        <v>0.35648557384305379</v>
      </c>
      <c r="P146" s="10">
        <v>0.32219441548697481</v>
      </c>
      <c r="Q146" s="10">
        <v>26.868522882499999</v>
      </c>
      <c r="R146" s="10">
        <v>44.128538608600003</v>
      </c>
      <c r="S146" s="10">
        <v>36.661043644000003</v>
      </c>
      <c r="T146" s="10">
        <v>41.7849140167</v>
      </c>
      <c r="U146" s="10">
        <v>56.249866485600002</v>
      </c>
      <c r="V146" s="10">
        <v>41.8183298111</v>
      </c>
      <c r="W146" s="10">
        <v>27.939028789999998</v>
      </c>
      <c r="X146" s="10">
        <v>-26.243841620000001</v>
      </c>
    </row>
    <row r="147" spans="1:24" x14ac:dyDescent="0.45">
      <c r="A147">
        <v>79800029</v>
      </c>
      <c r="B147" t="s">
        <v>38</v>
      </c>
      <c r="D147">
        <v>1</v>
      </c>
      <c r="E147" s="10">
        <v>0.28203806050426078</v>
      </c>
      <c r="F147" s="10">
        <v>6.2209587648382868E-3</v>
      </c>
      <c r="G147" s="10">
        <v>0.84627206281169132</v>
      </c>
      <c r="H147" s="10">
        <v>7.0082118958728562E-3</v>
      </c>
      <c r="I147" s="10">
        <v>0.22793682374522059</v>
      </c>
      <c r="J147" s="10">
        <v>4.8687828821915372E-2</v>
      </c>
      <c r="K147" s="10">
        <v>1.6975805322301536E-2</v>
      </c>
      <c r="L147" s="10">
        <v>0.43777642904902103</v>
      </c>
      <c r="M147" s="10">
        <v>0.40512670053882488</v>
      </c>
      <c r="N147" s="10">
        <v>0.38110126929682775</v>
      </c>
      <c r="O147" s="10">
        <v>0.50829968449057783</v>
      </c>
      <c r="P147" s="10">
        <v>0.43307602084381286</v>
      </c>
      <c r="Q147" s="10">
        <v>27.447807311999998</v>
      </c>
      <c r="R147" s="10">
        <v>44.402351379400002</v>
      </c>
      <c r="S147" s="10">
        <v>38.4806747437</v>
      </c>
      <c r="T147" s="10">
        <v>38.619319915799998</v>
      </c>
      <c r="U147" s="10">
        <v>54.413082122799999</v>
      </c>
      <c r="V147" s="10">
        <v>46.096324920699999</v>
      </c>
      <c r="W147" s="10">
        <v>27.94805925</v>
      </c>
      <c r="X147" s="10">
        <v>-26.228584999999999</v>
      </c>
    </row>
    <row r="148" spans="1:24" x14ac:dyDescent="0.45">
      <c r="A148">
        <v>79800030</v>
      </c>
      <c r="B148" t="s">
        <v>38</v>
      </c>
      <c r="D148">
        <v>1</v>
      </c>
      <c r="E148" s="10">
        <v>0.88862269775832903</v>
      </c>
      <c r="F148" s="10">
        <v>5.0516923054739177E-2</v>
      </c>
      <c r="G148" s="10">
        <v>0.79118719405057369</v>
      </c>
      <c r="H148" s="10">
        <v>0</v>
      </c>
      <c r="I148" s="10">
        <v>0.63639244632753889</v>
      </c>
      <c r="J148" s="10">
        <v>0.14820263895679886</v>
      </c>
      <c r="K148" s="10">
        <v>0.10052128707434536</v>
      </c>
      <c r="L148" s="10">
        <v>0.2346874760666697</v>
      </c>
      <c r="M148" s="10">
        <v>0.30867191097194896</v>
      </c>
      <c r="N148" s="10">
        <v>0.22947088307237168</v>
      </c>
      <c r="O148" s="10">
        <v>0.31043147122204362</v>
      </c>
      <c r="P148" s="10">
        <v>0.27081543533325847</v>
      </c>
      <c r="Q148" s="10">
        <v>28.267560958899999</v>
      </c>
      <c r="R148" s="10">
        <v>43.380325317400001</v>
      </c>
      <c r="S148" s="10">
        <v>35.646181378999998</v>
      </c>
      <c r="T148" s="10">
        <v>41.707541874500002</v>
      </c>
      <c r="U148" s="10">
        <v>55.802301134399997</v>
      </c>
      <c r="V148" s="10">
        <v>40.365276881600003</v>
      </c>
      <c r="W148" s="10">
        <v>27.92345083</v>
      </c>
      <c r="X148" s="10">
        <v>-26.24606249</v>
      </c>
    </row>
    <row r="149" spans="1:24" x14ac:dyDescent="0.45">
      <c r="A149">
        <v>79800031</v>
      </c>
      <c r="B149" t="s">
        <v>38</v>
      </c>
      <c r="D149">
        <v>1</v>
      </c>
      <c r="E149" s="10">
        <v>0.82001330783713611</v>
      </c>
      <c r="F149" s="10">
        <v>7.2643898463030628E-3</v>
      </c>
      <c r="G149" s="10">
        <v>0.80317118294546996</v>
      </c>
      <c r="H149" s="10">
        <v>2.7915803143745009E-3</v>
      </c>
      <c r="I149" s="10">
        <v>0.68064391591535212</v>
      </c>
      <c r="J149" s="10">
        <v>0.13079389270285707</v>
      </c>
      <c r="K149" s="10">
        <v>7.0899954589970809E-2</v>
      </c>
      <c r="L149" s="10">
        <v>0.27909818460524127</v>
      </c>
      <c r="M149" s="10">
        <v>0.29989695836472408</v>
      </c>
      <c r="N149" s="10">
        <v>0.26133680098990159</v>
      </c>
      <c r="O149" s="10">
        <v>0.31475655784387246</v>
      </c>
      <c r="P149" s="10">
        <v>0.28877212545093484</v>
      </c>
      <c r="Q149" s="10">
        <v>27.448091507000001</v>
      </c>
      <c r="R149" s="10">
        <v>42.988927023800002</v>
      </c>
      <c r="S149" s="10">
        <v>35.482520512199997</v>
      </c>
      <c r="T149" s="10">
        <v>40.826306479300001</v>
      </c>
      <c r="U149" s="10">
        <v>55.172547476600002</v>
      </c>
      <c r="V149" s="10">
        <v>40.474330357100001</v>
      </c>
      <c r="W149" s="10">
        <v>27.926641669999999</v>
      </c>
      <c r="X149" s="10">
        <v>-26.236281770000002</v>
      </c>
    </row>
    <row r="150" spans="1:24" x14ac:dyDescent="0.45">
      <c r="A150">
        <v>79800032</v>
      </c>
      <c r="B150" t="s">
        <v>38</v>
      </c>
      <c r="D150">
        <v>1</v>
      </c>
      <c r="E150" s="10">
        <v>0.1271486713782547</v>
      </c>
      <c r="F150" s="10">
        <v>2.4921673989653732E-2</v>
      </c>
      <c r="G150" s="10">
        <v>0.68716777389994821</v>
      </c>
      <c r="H150" s="10">
        <v>0.15569004356846081</v>
      </c>
      <c r="I150" s="10">
        <v>8.1408400670217401E-2</v>
      </c>
      <c r="J150" s="10">
        <v>4.4989270695045113E-3</v>
      </c>
      <c r="K150" s="10">
        <v>7.0370506637841002E-2</v>
      </c>
      <c r="L150" s="10">
        <v>0.64597891541922348</v>
      </c>
      <c r="M150" s="10">
        <v>0.85879704930530121</v>
      </c>
      <c r="N150" s="10">
        <v>0.560913953703566</v>
      </c>
      <c r="O150" s="10">
        <v>0.84762688771103367</v>
      </c>
      <c r="P150" s="10">
        <v>0.72832920153478109</v>
      </c>
      <c r="Q150" s="10">
        <v>25.022176008999999</v>
      </c>
      <c r="R150" s="10">
        <v>47.555648803700002</v>
      </c>
      <c r="S150" s="10">
        <v>37.999401092500001</v>
      </c>
      <c r="T150" s="10">
        <v>52.210712432900003</v>
      </c>
      <c r="U150" s="10">
        <v>61.876136779799999</v>
      </c>
      <c r="V150" s="10">
        <v>38.136337280299998</v>
      </c>
      <c r="W150" s="10">
        <v>28.141522729999998</v>
      </c>
      <c r="X150" s="10">
        <v>-26.079486710000001</v>
      </c>
    </row>
    <row r="151" spans="1:24" x14ac:dyDescent="0.45">
      <c r="A151">
        <v>79800033</v>
      </c>
      <c r="B151" t="s">
        <v>38</v>
      </c>
      <c r="D151">
        <v>1</v>
      </c>
      <c r="E151" s="10">
        <v>0.77131407438466681</v>
      </c>
      <c r="F151" s="10">
        <v>1.6060850934493448E-3</v>
      </c>
      <c r="G151" s="10">
        <v>0.74207499327896764</v>
      </c>
      <c r="H151" s="10">
        <v>6.0778282281547516E-3</v>
      </c>
      <c r="I151" s="10">
        <v>0.15307750522621713</v>
      </c>
      <c r="J151" s="10">
        <v>8.6442109805716719E-2</v>
      </c>
      <c r="K151" s="10">
        <v>6.499111323263812E-2</v>
      </c>
      <c r="L151" s="10">
        <v>0.39521253615267371</v>
      </c>
      <c r="M151" s="10">
        <v>0.5051056048486855</v>
      </c>
      <c r="N151" s="10">
        <v>0.43981756096412139</v>
      </c>
      <c r="O151" s="10">
        <v>0.54434732724982926</v>
      </c>
      <c r="P151" s="10">
        <v>0.47112075730382741</v>
      </c>
      <c r="Q151" s="10">
        <v>28.555484771700002</v>
      </c>
      <c r="R151" s="10">
        <v>41.883020401000003</v>
      </c>
      <c r="S151" s="10">
        <v>36.3862892151</v>
      </c>
      <c r="T151" s="10">
        <v>40.576237869300002</v>
      </c>
      <c r="U151" s="10">
        <v>52.6122783661</v>
      </c>
      <c r="V151" s="10">
        <v>37.9572769165</v>
      </c>
      <c r="W151" s="10">
        <v>27.870567650000002</v>
      </c>
      <c r="X151" s="10">
        <v>-26.26253977</v>
      </c>
    </row>
    <row r="152" spans="1:24" x14ac:dyDescent="0.45">
      <c r="A152">
        <v>79800034</v>
      </c>
      <c r="B152" t="s">
        <v>38</v>
      </c>
      <c r="D152">
        <v>1</v>
      </c>
      <c r="E152" s="10">
        <v>0.70907608619975304</v>
      </c>
      <c r="F152" s="10">
        <v>3.7233279852666445E-3</v>
      </c>
      <c r="G152" s="10">
        <v>0.78301146087923956</v>
      </c>
      <c r="H152" s="10">
        <v>1.3991290262941946E-2</v>
      </c>
      <c r="I152" s="10">
        <v>0.16691150135599631</v>
      </c>
      <c r="J152" s="10">
        <v>8.4907133900938792E-2</v>
      </c>
      <c r="K152" s="10">
        <v>0.11887325371383042</v>
      </c>
      <c r="L152" s="10">
        <v>0.36035486478894568</v>
      </c>
      <c r="M152" s="10">
        <v>0.48011275695774536</v>
      </c>
      <c r="N152" s="10">
        <v>0.3884796995982232</v>
      </c>
      <c r="O152" s="10">
        <v>0.50885522329806687</v>
      </c>
      <c r="P152" s="10">
        <v>0.43445063616074531</v>
      </c>
      <c r="Q152" s="10">
        <v>28.467538642899999</v>
      </c>
      <c r="R152" s="10">
        <v>40.935326003999997</v>
      </c>
      <c r="S152" s="10">
        <v>36.2321926117</v>
      </c>
      <c r="T152" s="10">
        <v>38.784636306800003</v>
      </c>
      <c r="U152" s="10">
        <v>51.284361648599997</v>
      </c>
      <c r="V152" s="10">
        <v>37.4401119232</v>
      </c>
      <c r="W152" s="10">
        <v>27.863844830000001</v>
      </c>
      <c r="X152" s="10">
        <v>-26.24770998</v>
      </c>
    </row>
    <row r="153" spans="1:24" x14ac:dyDescent="0.45">
      <c r="A153">
        <v>79800035</v>
      </c>
      <c r="B153" t="s">
        <v>38</v>
      </c>
      <c r="D153">
        <v>1</v>
      </c>
      <c r="E153" s="10">
        <v>0.78003796798543568</v>
      </c>
      <c r="F153" s="10">
        <v>3.8204987606263521E-3</v>
      </c>
      <c r="G153" s="10">
        <v>0.76274603975622146</v>
      </c>
      <c r="H153" s="10">
        <v>0</v>
      </c>
      <c r="I153" s="10">
        <v>0.26968852817604344</v>
      </c>
      <c r="J153" s="10">
        <v>0.12680565454493162</v>
      </c>
      <c r="K153" s="10">
        <v>4.429891050770534E-2</v>
      </c>
      <c r="L153" s="10">
        <v>0.35337372282203894</v>
      </c>
      <c r="M153" s="10">
        <v>0.41659110602229393</v>
      </c>
      <c r="N153" s="10">
        <v>0.35662613813905486</v>
      </c>
      <c r="O153" s="10">
        <v>0.44278903117664176</v>
      </c>
      <c r="P153" s="10">
        <v>0.3923449995400074</v>
      </c>
      <c r="Q153" s="10">
        <v>27.3407382965</v>
      </c>
      <c r="R153" s="10">
        <v>41.268266042100002</v>
      </c>
      <c r="S153" s="10">
        <v>35.859793768999999</v>
      </c>
      <c r="T153" s="10">
        <v>39.234097798699999</v>
      </c>
      <c r="U153" s="10">
        <v>52.151104397200001</v>
      </c>
      <c r="V153" s="10">
        <v>37.828065236400001</v>
      </c>
      <c r="W153" s="10">
        <v>27.875027719999999</v>
      </c>
      <c r="X153" s="10">
        <v>-26.24602638</v>
      </c>
    </row>
    <row r="154" spans="1:24" x14ac:dyDescent="0.45">
      <c r="A154">
        <v>79800036</v>
      </c>
      <c r="B154" t="s">
        <v>38</v>
      </c>
      <c r="D154">
        <v>1</v>
      </c>
      <c r="E154" s="10">
        <v>0.61264732332131677</v>
      </c>
      <c r="F154" s="10">
        <v>1.0739560170744247E-2</v>
      </c>
      <c r="G154" s="10">
        <v>0.7485824256383965</v>
      </c>
      <c r="H154" s="10">
        <v>6.4682376321886868E-3</v>
      </c>
      <c r="I154" s="10">
        <v>9.9148955994085769E-2</v>
      </c>
      <c r="J154" s="10">
        <v>8.429317592340875E-2</v>
      </c>
      <c r="K154" s="10">
        <v>2.2082397636378776E-2</v>
      </c>
      <c r="L154" s="10">
        <v>0.40914383353633965</v>
      </c>
      <c r="M154" s="10">
        <v>0.62377278058830776</v>
      </c>
      <c r="N154" s="10">
        <v>0.51925499478956705</v>
      </c>
      <c r="O154" s="10">
        <v>0.5928496953253477</v>
      </c>
      <c r="P154" s="10">
        <v>0.53625532605989057</v>
      </c>
      <c r="Q154" s="10">
        <v>26.739912033100001</v>
      </c>
      <c r="R154" s="10">
        <v>41.066277243899997</v>
      </c>
      <c r="S154" s="10">
        <v>35.361856287199998</v>
      </c>
      <c r="T154" s="10">
        <v>38.805472980799998</v>
      </c>
      <c r="U154" s="10">
        <v>52.231827822600003</v>
      </c>
      <c r="V154" s="10">
        <v>37.865948070199998</v>
      </c>
      <c r="W154" s="10">
        <v>27.882891650000001</v>
      </c>
      <c r="X154" s="10">
        <v>-26.238710810000001</v>
      </c>
    </row>
    <row r="155" spans="1:24" x14ac:dyDescent="0.45">
      <c r="A155">
        <v>79800037</v>
      </c>
      <c r="B155" t="s">
        <v>38</v>
      </c>
      <c r="D155">
        <v>1</v>
      </c>
      <c r="E155" s="10">
        <v>0.56777851646479838</v>
      </c>
      <c r="F155" s="10">
        <v>2.4899084744057391E-2</v>
      </c>
      <c r="G155" s="10">
        <v>0.72174182884397875</v>
      </c>
      <c r="H155" s="10">
        <v>2.9988134885739915E-2</v>
      </c>
      <c r="I155" s="10">
        <v>0.12845044161307728</v>
      </c>
      <c r="J155" s="10">
        <v>9.8235388335683876E-2</v>
      </c>
      <c r="K155" s="10">
        <v>3.8900589001451991E-2</v>
      </c>
      <c r="L155" s="10">
        <v>0.36268736347353098</v>
      </c>
      <c r="M155" s="10">
        <v>0.66248520894576968</v>
      </c>
      <c r="N155" s="10">
        <v>0.52612991427757649</v>
      </c>
      <c r="O155" s="10">
        <v>0.6265127425525252</v>
      </c>
      <c r="P155" s="10">
        <v>0.5444538073123506</v>
      </c>
      <c r="Q155" s="10">
        <v>28.4488096971</v>
      </c>
      <c r="R155" s="10">
        <v>42.4835847708</v>
      </c>
      <c r="S155" s="10">
        <v>35.7578365619</v>
      </c>
      <c r="T155" s="10">
        <v>41.216578556899996</v>
      </c>
      <c r="U155" s="10">
        <v>54.226822486300001</v>
      </c>
      <c r="V155" s="10">
        <v>38.733097663300001</v>
      </c>
      <c r="W155" s="10">
        <v>27.890902109999999</v>
      </c>
      <c r="X155" s="10">
        <v>-26.254885649999999</v>
      </c>
    </row>
    <row r="156" spans="1:24" x14ac:dyDescent="0.45">
      <c r="A156">
        <v>79800038</v>
      </c>
      <c r="B156" t="s">
        <v>38</v>
      </c>
      <c r="D156">
        <v>1</v>
      </c>
      <c r="E156" s="10">
        <v>0.57969244555578514</v>
      </c>
      <c r="F156" s="10">
        <v>4.5375236581301492E-2</v>
      </c>
      <c r="G156" s="10">
        <v>0.75157513290423728</v>
      </c>
      <c r="H156" s="10">
        <v>9.1325377191547666E-3</v>
      </c>
      <c r="I156" s="10">
        <v>4.6347548902724682E-2</v>
      </c>
      <c r="J156" s="10">
        <v>5.8745485906719297E-2</v>
      </c>
      <c r="K156" s="10">
        <v>9.3731518366370351E-2</v>
      </c>
      <c r="L156" s="10">
        <v>0.37760355685806224</v>
      </c>
      <c r="M156" s="10">
        <v>0.65072459648149328</v>
      </c>
      <c r="N156" s="10">
        <v>0.50804799031204884</v>
      </c>
      <c r="O156" s="10">
        <v>0.59480511974981687</v>
      </c>
      <c r="P156" s="10">
        <v>0.53279531585035522</v>
      </c>
      <c r="Q156" s="10">
        <v>27.8651771545</v>
      </c>
      <c r="R156" s="10">
        <v>41.808765117900002</v>
      </c>
      <c r="S156" s="10">
        <v>34.9893071101</v>
      </c>
      <c r="T156" s="10">
        <v>40.052161290100003</v>
      </c>
      <c r="U156" s="10">
        <v>53.700464688799997</v>
      </c>
      <c r="V156" s="10">
        <v>38.493125328700003</v>
      </c>
      <c r="W156" s="10">
        <v>27.896343420000001</v>
      </c>
      <c r="X156" s="10">
        <v>-26.24049977</v>
      </c>
    </row>
    <row r="157" spans="1:24" x14ac:dyDescent="0.45">
      <c r="A157">
        <v>79800039</v>
      </c>
      <c r="B157" t="s">
        <v>38</v>
      </c>
      <c r="D157">
        <v>1</v>
      </c>
      <c r="E157" s="10">
        <v>0.73795720400876696</v>
      </c>
      <c r="F157" s="10">
        <v>2.9380314004295873E-3</v>
      </c>
      <c r="G157" s="10">
        <v>0.76891011522841968</v>
      </c>
      <c r="H157" s="10">
        <v>3.8117408382643283E-3</v>
      </c>
      <c r="I157" s="10">
        <v>0.22804975442554162</v>
      </c>
      <c r="J157" s="10">
        <v>7.8645462750025874E-2</v>
      </c>
      <c r="K157" s="10">
        <v>9.8384449180122416E-2</v>
      </c>
      <c r="L157" s="10">
        <v>0.33713435690000698</v>
      </c>
      <c r="M157" s="10">
        <v>0.44928371402662426</v>
      </c>
      <c r="N157" s="10">
        <v>0.32984328463916213</v>
      </c>
      <c r="O157" s="10">
        <v>0.42782731008552127</v>
      </c>
      <c r="P157" s="10">
        <v>0.38602216641282866</v>
      </c>
      <c r="Q157" s="10">
        <v>27.035982132000001</v>
      </c>
      <c r="R157" s="10">
        <v>41.892599582700001</v>
      </c>
      <c r="S157" s="10">
        <v>34.448042631100002</v>
      </c>
      <c r="T157" s="10">
        <v>39.966884612999998</v>
      </c>
      <c r="U157" s="10">
        <v>54.130815744400003</v>
      </c>
      <c r="V157" s="10">
        <v>39.024650812099999</v>
      </c>
      <c r="W157" s="10">
        <v>27.911639050000002</v>
      </c>
      <c r="X157" s="10">
        <v>-26.232572609999998</v>
      </c>
    </row>
    <row r="158" spans="1:24" x14ac:dyDescent="0.45">
      <c r="A158">
        <v>79800040</v>
      </c>
      <c r="B158" t="s">
        <v>38</v>
      </c>
      <c r="D158">
        <v>1</v>
      </c>
      <c r="E158" s="10">
        <v>0.82844859315931252</v>
      </c>
      <c r="F158" s="10">
        <v>0</v>
      </c>
      <c r="G158" s="10">
        <v>0.80985618027092887</v>
      </c>
      <c r="H158" s="10">
        <v>0</v>
      </c>
      <c r="I158" s="10">
        <v>0.37669779927984837</v>
      </c>
      <c r="J158" s="10">
        <v>0.13715824089600329</v>
      </c>
      <c r="K158" s="10">
        <v>1.4175360588614393E-2</v>
      </c>
      <c r="L158" s="10">
        <v>0.29517191851906499</v>
      </c>
      <c r="M158" s="10">
        <v>0.37395392881171186</v>
      </c>
      <c r="N158" s="10">
        <v>0.26692375884784009</v>
      </c>
      <c r="O158" s="10">
        <v>0.375105955898136</v>
      </c>
      <c r="P158" s="10">
        <v>0.32778889051918825</v>
      </c>
      <c r="Q158" s="10">
        <v>26.8740874396</v>
      </c>
      <c r="R158" s="10">
        <v>41.032643636099998</v>
      </c>
      <c r="S158" s="10">
        <v>33.719782087500001</v>
      </c>
      <c r="T158" s="10">
        <v>38.642329745799998</v>
      </c>
      <c r="U158" s="10">
        <v>53.130762736000001</v>
      </c>
      <c r="V158" s="10">
        <v>38.637694040900001</v>
      </c>
      <c r="W158" s="10">
        <v>27.914840600000002</v>
      </c>
      <c r="X158" s="10">
        <v>-26.220221710000001</v>
      </c>
    </row>
    <row r="159" spans="1:24" x14ac:dyDescent="0.45">
      <c r="A159">
        <v>79800041</v>
      </c>
      <c r="B159" t="s">
        <v>38</v>
      </c>
      <c r="D159">
        <v>1</v>
      </c>
      <c r="E159" s="10">
        <v>0.88335558292283312</v>
      </c>
      <c r="F159" s="10">
        <v>4.8797489659881876E-3</v>
      </c>
      <c r="G159" s="10">
        <v>0.83974023990368618</v>
      </c>
      <c r="H159" s="10">
        <v>0</v>
      </c>
      <c r="I159" s="10">
        <v>0.1295124015703556</v>
      </c>
      <c r="J159" s="10">
        <v>0.13660675840133402</v>
      </c>
      <c r="K159" s="10">
        <v>3.9595348915526712E-2</v>
      </c>
      <c r="L159" s="10">
        <v>0.2962136441963909</v>
      </c>
      <c r="M159" s="10">
        <v>0.31053448574782233</v>
      </c>
      <c r="N159" s="10">
        <v>0.26484178986044271</v>
      </c>
      <c r="O159" s="10">
        <v>0.32352705936324205</v>
      </c>
      <c r="P159" s="10">
        <v>0.29877924479197449</v>
      </c>
      <c r="Q159" s="10">
        <v>26.5881557465</v>
      </c>
      <c r="R159" s="10">
        <v>40.486262798299997</v>
      </c>
      <c r="S159" s="10">
        <v>33.699312210099997</v>
      </c>
      <c r="T159" s="10">
        <v>38.083816528299998</v>
      </c>
      <c r="U159" s="10">
        <v>52.3482952118</v>
      </c>
      <c r="V159" s="10">
        <v>37.813623905199996</v>
      </c>
      <c r="W159" s="10">
        <v>27.90304497</v>
      </c>
      <c r="X159" s="10">
        <v>-26.22062318</v>
      </c>
    </row>
    <row r="160" spans="1:24" x14ac:dyDescent="0.45">
      <c r="A160">
        <v>79800042</v>
      </c>
      <c r="B160" t="s">
        <v>38</v>
      </c>
      <c r="D160">
        <v>1</v>
      </c>
      <c r="E160" s="10">
        <v>0.87145510778437441</v>
      </c>
      <c r="F160" s="10">
        <v>2.0120376643054305E-3</v>
      </c>
      <c r="G160" s="10">
        <v>0.83486069223234194</v>
      </c>
      <c r="H160" s="10">
        <v>0</v>
      </c>
      <c r="I160" s="10">
        <v>0.36184510807931297</v>
      </c>
      <c r="J160" s="10">
        <v>0.13269340679696631</v>
      </c>
      <c r="K160" s="10">
        <v>4.4340290351778215E-2</v>
      </c>
      <c r="L160" s="10">
        <v>0.25745557069031477</v>
      </c>
      <c r="M160" s="10">
        <v>0.28882346687078397</v>
      </c>
      <c r="N160" s="10">
        <v>0.22321041732052144</v>
      </c>
      <c r="O160" s="10">
        <v>0.28777989705530538</v>
      </c>
      <c r="P160" s="10">
        <v>0.2643173379842314</v>
      </c>
      <c r="Q160" s="10">
        <v>26.672457013799999</v>
      </c>
      <c r="R160" s="10">
        <v>40.5056762695</v>
      </c>
      <c r="S160" s="10">
        <v>33.085884094199997</v>
      </c>
      <c r="T160" s="10">
        <v>38.307796478299998</v>
      </c>
      <c r="U160" s="10">
        <v>52.775009155299998</v>
      </c>
      <c r="V160" s="10">
        <v>37.854011535600002</v>
      </c>
      <c r="W160" s="10">
        <v>27.891614879999999</v>
      </c>
      <c r="X160" s="10">
        <v>-26.221881920000001</v>
      </c>
    </row>
    <row r="161" spans="1:24" x14ac:dyDescent="0.45">
      <c r="A161">
        <v>79800043</v>
      </c>
      <c r="B161" t="s">
        <v>38</v>
      </c>
      <c r="D161">
        <v>1</v>
      </c>
      <c r="E161" s="10">
        <v>0.89653755302541338</v>
      </c>
      <c r="F161" s="10">
        <v>1.1215239189643258E-2</v>
      </c>
      <c r="G161" s="10">
        <v>0.87305829520411438</v>
      </c>
      <c r="H161" s="10">
        <v>5.2375163592363631E-3</v>
      </c>
      <c r="I161" s="10">
        <v>0.35872722852270483</v>
      </c>
      <c r="J161" s="10">
        <v>0.13523917550462455</v>
      </c>
      <c r="K161" s="10">
        <v>2.2015088069956931E-2</v>
      </c>
      <c r="L161" s="10">
        <v>0.27597130484003313</v>
      </c>
      <c r="M161" s="10">
        <v>0.27808878175072932</v>
      </c>
      <c r="N161" s="10">
        <v>0.24604894931551854</v>
      </c>
      <c r="O161" s="10">
        <v>0.28933086077921366</v>
      </c>
      <c r="P161" s="10">
        <v>0.2723599741713737</v>
      </c>
      <c r="Q161" s="10">
        <v>26.5881557465</v>
      </c>
      <c r="R161" s="10">
        <v>39.778832117699999</v>
      </c>
      <c r="S161" s="10">
        <v>34.1001663208</v>
      </c>
      <c r="T161" s="10">
        <v>36.485399246199997</v>
      </c>
      <c r="U161" s="10">
        <v>50.760108312</v>
      </c>
      <c r="V161" s="10">
        <v>37.769653956100001</v>
      </c>
      <c r="W161" s="10">
        <v>27.893212009999999</v>
      </c>
      <c r="X161" s="10">
        <v>-26.211211429999999</v>
      </c>
    </row>
    <row r="162" spans="1:24" x14ac:dyDescent="0.45">
      <c r="A162">
        <v>79800044</v>
      </c>
      <c r="B162" t="s">
        <v>38</v>
      </c>
      <c r="D162">
        <v>1</v>
      </c>
      <c r="E162" s="10">
        <v>0.81443214979559986</v>
      </c>
      <c r="F162" s="10">
        <v>6.1114068752501473E-3</v>
      </c>
      <c r="G162" s="10">
        <v>0.85522378432198276</v>
      </c>
      <c r="H162" s="10">
        <v>9.8565353687045734E-3</v>
      </c>
      <c r="I162" s="10">
        <v>0.48643545836328472</v>
      </c>
      <c r="J162" s="10">
        <v>8.3923267034361232E-2</v>
      </c>
      <c r="K162" s="10">
        <v>5.5616752448319942E-2</v>
      </c>
      <c r="L162" s="10">
        <v>0.29782968761788731</v>
      </c>
      <c r="M162" s="10">
        <v>0.36531202343878832</v>
      </c>
      <c r="N162" s="10">
        <v>0.27122139219516161</v>
      </c>
      <c r="O162" s="10">
        <v>0.36970025588907407</v>
      </c>
      <c r="P162" s="10">
        <v>0.32601583978522786</v>
      </c>
      <c r="Q162" s="10">
        <v>34.138298988300001</v>
      </c>
      <c r="R162" s="10">
        <v>39.562818278400002</v>
      </c>
      <c r="S162" s="10">
        <v>36.614785733399998</v>
      </c>
      <c r="T162" s="10">
        <v>34.169898489200001</v>
      </c>
      <c r="U162" s="10">
        <v>48.344204612399999</v>
      </c>
      <c r="V162" s="10">
        <v>39.122377976099997</v>
      </c>
      <c r="W162" s="10">
        <v>27.867425260000001</v>
      </c>
      <c r="X162" s="10">
        <v>-26.202127109999999</v>
      </c>
    </row>
    <row r="163" spans="1:24" x14ac:dyDescent="0.45">
      <c r="A163">
        <v>79800045</v>
      </c>
      <c r="B163" t="s">
        <v>38</v>
      </c>
      <c r="D163">
        <v>1</v>
      </c>
      <c r="E163" s="10">
        <v>0.83899296397876688</v>
      </c>
      <c r="F163" s="10">
        <v>6.7188205022690045E-3</v>
      </c>
      <c r="G163" s="10">
        <v>0.8075103551631464</v>
      </c>
      <c r="H163" s="10">
        <v>4.3614676394852408E-3</v>
      </c>
      <c r="I163" s="10">
        <v>0.2282223181795707</v>
      </c>
      <c r="J163" s="10">
        <v>0.14395049105510743</v>
      </c>
      <c r="K163" s="10">
        <v>2.3890631893885676E-2</v>
      </c>
      <c r="L163" s="10">
        <v>0.26426230104027731</v>
      </c>
      <c r="M163" s="10">
        <v>0.3013836614099929</v>
      </c>
      <c r="N163" s="10">
        <v>0.26423012745459235</v>
      </c>
      <c r="O163" s="10">
        <v>0.30785405452501946</v>
      </c>
      <c r="P163" s="10">
        <v>0.28443253610747049</v>
      </c>
      <c r="Q163" s="10">
        <v>26.739912033100001</v>
      </c>
      <c r="R163" s="10">
        <v>39.769200325</v>
      </c>
      <c r="S163" s="10">
        <v>34.9491648674</v>
      </c>
      <c r="T163" s="10">
        <v>36.1521945</v>
      </c>
      <c r="U163" s="10">
        <v>50.286219119999998</v>
      </c>
      <c r="V163" s="10">
        <v>37.689217090600003</v>
      </c>
      <c r="W163" s="10">
        <v>27.881095599999998</v>
      </c>
      <c r="X163" s="10">
        <v>-26.214516790000001</v>
      </c>
    </row>
    <row r="164" spans="1:24" x14ac:dyDescent="0.45">
      <c r="A164">
        <v>79800046</v>
      </c>
      <c r="B164" t="s">
        <v>38</v>
      </c>
      <c r="D164">
        <v>1</v>
      </c>
      <c r="E164" s="10">
        <v>0.56020280683577006</v>
      </c>
      <c r="F164" s="10">
        <v>7.155246449552048E-3</v>
      </c>
      <c r="G164" s="10">
        <v>0.80585204924772946</v>
      </c>
      <c r="H164" s="10">
        <v>2.3916207133933443E-2</v>
      </c>
      <c r="I164" s="10">
        <v>0.20867927508928538</v>
      </c>
      <c r="J164" s="10">
        <v>7.8984225106778258E-2</v>
      </c>
      <c r="K164" s="10">
        <v>0.13239454474698328</v>
      </c>
      <c r="L164" s="10">
        <v>0.39348858064598757</v>
      </c>
      <c r="M164" s="10">
        <v>0.55301839140951992</v>
      </c>
      <c r="N164" s="10">
        <v>0.39385142161853565</v>
      </c>
      <c r="O164" s="10">
        <v>0.53097210583305743</v>
      </c>
      <c r="P164" s="10">
        <v>0.46783262487677513</v>
      </c>
      <c r="Q164" s="10">
        <v>28.567825317400001</v>
      </c>
      <c r="R164" s="10">
        <v>40.143098943399998</v>
      </c>
      <c r="S164" s="10">
        <v>36.244205026099998</v>
      </c>
      <c r="T164" s="10">
        <v>37.220386953899997</v>
      </c>
      <c r="U164" s="10">
        <v>50.103382334999999</v>
      </c>
      <c r="V164" s="10">
        <v>37.004418765799997</v>
      </c>
      <c r="W164" s="10">
        <v>27.856831289999999</v>
      </c>
      <c r="X164" s="10">
        <v>-26.237659579999999</v>
      </c>
    </row>
    <row r="165" spans="1:24" x14ac:dyDescent="0.45">
      <c r="A165">
        <v>79800047</v>
      </c>
      <c r="B165" t="s">
        <v>38</v>
      </c>
      <c r="D165">
        <v>1</v>
      </c>
      <c r="E165" s="10">
        <v>0.84393889184912885</v>
      </c>
      <c r="F165" s="10">
        <v>3.704312693224604E-3</v>
      </c>
      <c r="G165" s="10">
        <v>0.79969061254454599</v>
      </c>
      <c r="H165" s="10">
        <v>5.967463431066875E-3</v>
      </c>
      <c r="I165" s="10">
        <v>0.44762266760457092</v>
      </c>
      <c r="J165" s="10">
        <v>0.12209746629362096</v>
      </c>
      <c r="K165" s="10">
        <v>2.8301579308770846E-2</v>
      </c>
      <c r="L165" s="10">
        <v>0.29446247187775343</v>
      </c>
      <c r="M165" s="10">
        <v>0.32177618623584792</v>
      </c>
      <c r="N165" s="10">
        <v>0.2917117845791517</v>
      </c>
      <c r="O165" s="10">
        <v>0.32064420713426983</v>
      </c>
      <c r="P165" s="10">
        <v>0.30714866245675571</v>
      </c>
      <c r="Q165" s="10">
        <v>28.548119783400001</v>
      </c>
      <c r="R165" s="10">
        <v>39.713832855200003</v>
      </c>
      <c r="S165" s="10">
        <v>35.487390041399998</v>
      </c>
      <c r="T165" s="10">
        <v>36.172187328299998</v>
      </c>
      <c r="U165" s="10">
        <v>50.063245773299997</v>
      </c>
      <c r="V165" s="10">
        <v>37.132501602200001</v>
      </c>
      <c r="W165" s="10">
        <v>27.86999204</v>
      </c>
      <c r="X165" s="10">
        <v>-26.222593</v>
      </c>
    </row>
    <row r="166" spans="1:24" x14ac:dyDescent="0.45">
      <c r="A166">
        <v>79800048</v>
      </c>
      <c r="B166" t="s">
        <v>38</v>
      </c>
      <c r="D166">
        <v>1</v>
      </c>
      <c r="E166" s="10">
        <v>0.86281511485666695</v>
      </c>
      <c r="F166" s="10">
        <v>1.6735579832303574E-2</v>
      </c>
      <c r="G166" s="10">
        <v>0.80625025639800563</v>
      </c>
      <c r="H166" s="10">
        <v>0</v>
      </c>
      <c r="I166" s="10">
        <v>0.28026813133872047</v>
      </c>
      <c r="J166" s="10">
        <v>9.8281959458550949E-2</v>
      </c>
      <c r="K166" s="10">
        <v>0.15453321047254007</v>
      </c>
      <c r="L166" s="10">
        <v>0.30790280392538277</v>
      </c>
      <c r="M166" s="10">
        <v>0.3333536293234956</v>
      </c>
      <c r="N166" s="10">
        <v>0.27886404721631591</v>
      </c>
      <c r="O166" s="10">
        <v>0.36859075055305851</v>
      </c>
      <c r="P166" s="10">
        <v>0.32217780775456323</v>
      </c>
      <c r="Q166" s="10">
        <v>31.357594490099999</v>
      </c>
      <c r="R166" s="10">
        <v>39.490098953199997</v>
      </c>
      <c r="S166" s="10">
        <v>36.4175484975</v>
      </c>
      <c r="T166" s="10">
        <v>35.728389422100001</v>
      </c>
      <c r="U166" s="10">
        <v>48.983475049299997</v>
      </c>
      <c r="V166" s="10">
        <v>36.830976804099997</v>
      </c>
      <c r="W166" s="10">
        <v>27.849992199999999</v>
      </c>
      <c r="X166" s="10">
        <v>-26.22774536</v>
      </c>
    </row>
    <row r="167" spans="1:24" x14ac:dyDescent="0.45">
      <c r="A167">
        <v>79800049</v>
      </c>
      <c r="B167" t="s">
        <v>38</v>
      </c>
      <c r="D167">
        <v>1</v>
      </c>
      <c r="E167" s="10">
        <v>0.22360912339928823</v>
      </c>
      <c r="F167" s="10">
        <v>4.6677943482754655E-2</v>
      </c>
      <c r="G167" s="10">
        <v>0.84395572438970168</v>
      </c>
      <c r="H167" s="10">
        <v>8.5806171942336325E-4</v>
      </c>
      <c r="I167" s="10">
        <v>0.20763297360741129</v>
      </c>
      <c r="J167" s="10">
        <v>3.0225398617743079E-2</v>
      </c>
      <c r="K167" s="10">
        <v>0.13518882542235161</v>
      </c>
      <c r="L167" s="10">
        <v>0.40283252182844137</v>
      </c>
      <c r="M167" s="10">
        <v>0.49924098246301679</v>
      </c>
      <c r="N167" s="10">
        <v>0.39534567040804441</v>
      </c>
      <c r="O167" s="10">
        <v>0.5534552259858786</v>
      </c>
      <c r="P167" s="10">
        <v>0.46271860017134525</v>
      </c>
      <c r="Q167" s="10">
        <v>34.5732371012</v>
      </c>
      <c r="R167" s="10">
        <v>39.325047727499999</v>
      </c>
      <c r="S167" s="10">
        <v>38.413480915000001</v>
      </c>
      <c r="T167" s="10">
        <v>32.294568077500003</v>
      </c>
      <c r="U167" s="10">
        <v>45.851876305799998</v>
      </c>
      <c r="V167" s="10">
        <v>40.7402609528</v>
      </c>
      <c r="W167" s="10">
        <v>27.836508240000001</v>
      </c>
      <c r="X167" s="10">
        <v>-26.199856329999999</v>
      </c>
    </row>
    <row r="168" spans="1:24" x14ac:dyDescent="0.45">
      <c r="A168">
        <v>79800050</v>
      </c>
      <c r="B168" t="s">
        <v>38</v>
      </c>
      <c r="D168">
        <v>1</v>
      </c>
      <c r="E168" s="10">
        <v>0.48801475748581208</v>
      </c>
      <c r="F168" s="10">
        <v>4.8721575059327921E-2</v>
      </c>
      <c r="G168" s="10">
        <v>0.78262889924727952</v>
      </c>
      <c r="H168" s="10">
        <v>9.8022512352881758E-3</v>
      </c>
      <c r="I168" s="10">
        <v>0.55567814400538895</v>
      </c>
      <c r="J168" s="10">
        <v>6.4600994360426822E-2</v>
      </c>
      <c r="K168" s="10">
        <v>6.0089979627558375E-2</v>
      </c>
      <c r="L168" s="10">
        <v>0.33447009150968532</v>
      </c>
      <c r="M168" s="10">
        <v>0.54119251040517979</v>
      </c>
      <c r="N168" s="10">
        <v>0.4133597658374305</v>
      </c>
      <c r="O168" s="10">
        <v>0.50232846641229256</v>
      </c>
      <c r="P168" s="10">
        <v>0.44783770854114702</v>
      </c>
      <c r="Q168" s="10">
        <v>26.8996276855</v>
      </c>
      <c r="R168" s="10">
        <v>38.903465271000002</v>
      </c>
      <c r="S168" s="10">
        <v>36.772083282499999</v>
      </c>
      <c r="T168" s="10">
        <v>34.337150573700001</v>
      </c>
      <c r="U168" s="10">
        <v>48.093921661400003</v>
      </c>
      <c r="V168" s="10">
        <v>36.410697937000002</v>
      </c>
      <c r="W168" s="10">
        <v>27.813516870000001</v>
      </c>
      <c r="X168" s="10">
        <v>-26.221581610000001</v>
      </c>
    </row>
    <row r="169" spans="1:24" x14ac:dyDescent="0.45">
      <c r="A169">
        <v>79800051</v>
      </c>
      <c r="B169" t="s">
        <v>38</v>
      </c>
      <c r="D169">
        <v>1</v>
      </c>
      <c r="E169" s="10">
        <v>0.76361225458023874</v>
      </c>
      <c r="F169" s="10">
        <v>5.1279195741397012E-4</v>
      </c>
      <c r="G169" s="10">
        <v>0.78529336128074723</v>
      </c>
      <c r="H169" s="10">
        <v>0</v>
      </c>
      <c r="I169" s="10">
        <v>0.1542721972023102</v>
      </c>
      <c r="J169" s="10">
        <v>0.13662438517731212</v>
      </c>
      <c r="K169" s="10">
        <v>0.22828586040689769</v>
      </c>
      <c r="L169" s="10">
        <v>0.32988882549885118</v>
      </c>
      <c r="M169" s="10">
        <v>0.44816495708887866</v>
      </c>
      <c r="N169" s="10">
        <v>0.37154384949239805</v>
      </c>
      <c r="O169" s="10">
        <v>0.43396000353672409</v>
      </c>
      <c r="P169" s="10">
        <v>0.39588940890421298</v>
      </c>
      <c r="Q169" s="10">
        <v>28.243701934800001</v>
      </c>
      <c r="R169" s="10">
        <v>39.667404174799998</v>
      </c>
      <c r="S169" s="10">
        <v>36.845277150500003</v>
      </c>
      <c r="T169" s="10">
        <v>36.452503204300001</v>
      </c>
      <c r="U169" s="10">
        <v>48.611728244399998</v>
      </c>
      <c r="V169" s="10">
        <v>36.760108099999997</v>
      </c>
      <c r="W169" s="10">
        <v>27.84017137</v>
      </c>
      <c r="X169" s="10">
        <v>-26.24197517</v>
      </c>
    </row>
    <row r="170" spans="1:24" x14ac:dyDescent="0.45">
      <c r="A170">
        <v>79800052</v>
      </c>
      <c r="B170" t="s">
        <v>38</v>
      </c>
      <c r="D170">
        <v>1</v>
      </c>
      <c r="E170" s="10">
        <v>0.89335992255249452</v>
      </c>
      <c r="F170" s="10">
        <v>4.2715238685049513E-3</v>
      </c>
      <c r="G170" s="10">
        <v>0.77671189146912334</v>
      </c>
      <c r="H170" s="10">
        <v>0</v>
      </c>
      <c r="I170" s="10">
        <v>0.12938641442758536</v>
      </c>
      <c r="J170" s="10">
        <v>0.13208374480452714</v>
      </c>
      <c r="K170" s="10">
        <v>0.14933329155091776</v>
      </c>
      <c r="L170" s="10">
        <v>0.2834735858842774</v>
      </c>
      <c r="M170" s="10">
        <v>0.3299114019433475</v>
      </c>
      <c r="N170" s="10">
        <v>0.27692954920052715</v>
      </c>
      <c r="O170" s="10">
        <v>0.33923022928877045</v>
      </c>
      <c r="P170" s="10">
        <v>0.30738619157923064</v>
      </c>
      <c r="Q170" s="10">
        <v>27.693627675399998</v>
      </c>
      <c r="R170" s="10">
        <v>39.322411431200003</v>
      </c>
      <c r="S170" s="10">
        <v>37.105658213300003</v>
      </c>
      <c r="T170" s="10">
        <v>35.804191589399998</v>
      </c>
      <c r="U170" s="10">
        <v>47.230344136600003</v>
      </c>
      <c r="V170" s="10">
        <v>37.1494517856</v>
      </c>
      <c r="W170" s="10">
        <v>27.82651911</v>
      </c>
      <c r="X170" s="10">
        <v>-26.24083044</v>
      </c>
    </row>
    <row r="171" spans="1:24" x14ac:dyDescent="0.45">
      <c r="A171">
        <v>79800054</v>
      </c>
      <c r="B171" t="s">
        <v>38</v>
      </c>
      <c r="D171">
        <v>1</v>
      </c>
      <c r="E171" s="10">
        <v>0.67611199999085259</v>
      </c>
      <c r="F171" s="10">
        <v>2.036123729291606E-2</v>
      </c>
      <c r="G171" s="10">
        <v>0.88169108403424434</v>
      </c>
      <c r="H171" s="10">
        <v>0.15137136148704794</v>
      </c>
      <c r="I171" s="10">
        <v>3.4013799717777862E-3</v>
      </c>
      <c r="J171" s="10">
        <v>2.0261264258914474E-2</v>
      </c>
      <c r="K171" s="10">
        <v>2.8955112893571121E-2</v>
      </c>
      <c r="L171" s="10">
        <v>0.5660367136550003</v>
      </c>
      <c r="M171" s="10">
        <v>0.61483701106860023</v>
      </c>
      <c r="N171" s="10">
        <v>0.52680924306963428</v>
      </c>
      <c r="O171" s="10">
        <v>0.64229928202576714</v>
      </c>
      <c r="P171" s="10">
        <v>0.58749556245475043</v>
      </c>
      <c r="Q171" s="10">
        <v>24.570812225299999</v>
      </c>
      <c r="R171" s="10">
        <v>47.994319915799998</v>
      </c>
      <c r="S171" s="10">
        <v>41.669708252</v>
      </c>
      <c r="T171" s="10">
        <v>47.144489288300001</v>
      </c>
      <c r="U171" s="10">
        <v>59.923763275100001</v>
      </c>
      <c r="V171" s="10">
        <v>43.239322662399999</v>
      </c>
      <c r="W171" s="10">
        <v>28.00502599</v>
      </c>
      <c r="X171" s="10">
        <v>-26.2567874</v>
      </c>
    </row>
    <row r="172" spans="1:24" x14ac:dyDescent="0.45">
      <c r="A172">
        <v>79800055</v>
      </c>
      <c r="B172" t="s">
        <v>38</v>
      </c>
      <c r="D172">
        <v>1</v>
      </c>
      <c r="E172" s="10">
        <v>0.63595520937662919</v>
      </c>
      <c r="F172" s="10">
        <v>2.1002252665319011E-2</v>
      </c>
      <c r="G172" s="10">
        <v>0.95233583521462195</v>
      </c>
      <c r="H172" s="10">
        <v>0.15268734661527869</v>
      </c>
      <c r="I172" s="10">
        <v>1.5043435765605424E-2</v>
      </c>
      <c r="J172" s="10">
        <v>3.8668196066302563E-2</v>
      </c>
      <c r="K172" s="10">
        <v>1.4096670640001594E-2</v>
      </c>
      <c r="L172" s="10">
        <v>0.52494754268373012</v>
      </c>
      <c r="M172" s="10">
        <v>0.49070432023537874</v>
      </c>
      <c r="N172" s="10">
        <v>0.45056686445183081</v>
      </c>
      <c r="O172" s="10">
        <v>0.54450479866400048</v>
      </c>
      <c r="P172" s="10">
        <v>0.50268088150873502</v>
      </c>
      <c r="Q172" s="10">
        <v>28.777161598199999</v>
      </c>
      <c r="R172" s="10">
        <v>46.678809229499997</v>
      </c>
      <c r="S172" s="10">
        <v>41.056536102300001</v>
      </c>
      <c r="T172" s="10">
        <v>44.223049291000002</v>
      </c>
      <c r="U172" s="10">
        <v>57.207968393999998</v>
      </c>
      <c r="V172" s="10">
        <v>44.227683003700001</v>
      </c>
      <c r="W172" s="10">
        <v>28.02368499</v>
      </c>
      <c r="X172" s="10">
        <v>-26.252964720000001</v>
      </c>
    </row>
    <row r="173" spans="1:24" x14ac:dyDescent="0.45">
      <c r="A173">
        <v>79800056</v>
      </c>
      <c r="B173" t="s">
        <v>38</v>
      </c>
      <c r="D173">
        <v>1</v>
      </c>
      <c r="E173" s="10">
        <v>0.79128341274968483</v>
      </c>
      <c r="F173" s="10">
        <v>3.2978796790792506E-2</v>
      </c>
      <c r="G173" s="10">
        <v>0.93080838489119433</v>
      </c>
      <c r="H173" s="10">
        <v>7.9229282701333975E-3</v>
      </c>
      <c r="I173" s="10">
        <v>2.8084174431766515E-2</v>
      </c>
      <c r="J173" s="10">
        <v>3.4028694935362758E-2</v>
      </c>
      <c r="K173" s="10">
        <v>1.8158844004669807E-2</v>
      </c>
      <c r="L173" s="10">
        <v>0.5339200584836955</v>
      </c>
      <c r="M173" s="10">
        <v>0.57553120352996323</v>
      </c>
      <c r="N173" s="10">
        <v>0.51988705430099358</v>
      </c>
      <c r="O173" s="10">
        <v>0.58557576155090696</v>
      </c>
      <c r="P173" s="10">
        <v>0.5537285194663899</v>
      </c>
      <c r="Q173" s="10">
        <v>24.201045990000001</v>
      </c>
      <c r="R173" s="10">
        <v>47.929028193199997</v>
      </c>
      <c r="S173" s="10">
        <v>42.732545534800003</v>
      </c>
      <c r="T173" s="10">
        <v>46.468482017500001</v>
      </c>
      <c r="U173" s="10">
        <v>58.1049421098</v>
      </c>
      <c r="V173" s="10">
        <v>44.410143852200001</v>
      </c>
      <c r="W173" s="10">
        <v>28.055577060000001</v>
      </c>
      <c r="X173" s="10">
        <v>-26.257504640000001</v>
      </c>
    </row>
    <row r="174" spans="1:24" x14ac:dyDescent="0.45">
      <c r="A174">
        <v>79800057</v>
      </c>
      <c r="B174" t="s">
        <v>38</v>
      </c>
      <c r="D174">
        <v>1</v>
      </c>
      <c r="E174" s="10">
        <v>0.33861515511068913</v>
      </c>
      <c r="F174" s="10">
        <v>6.1920459359539777E-3</v>
      </c>
      <c r="G174" s="10">
        <v>0.850566181887212</v>
      </c>
      <c r="H174" s="10">
        <v>0.48211006735478634</v>
      </c>
      <c r="I174" s="10">
        <v>1.0354716271705415E-2</v>
      </c>
      <c r="J174" s="10">
        <v>8.6704151891526058E-3</v>
      </c>
      <c r="K174" s="10">
        <v>2.3191449131098638E-2</v>
      </c>
      <c r="L174" s="10">
        <v>0.39649212610548562</v>
      </c>
      <c r="M174" s="10">
        <v>0.46632559923872313</v>
      </c>
      <c r="N174" s="10">
        <v>0.3815083556679808</v>
      </c>
      <c r="O174" s="10">
        <v>0.50363674863335728</v>
      </c>
      <c r="P174" s="10">
        <v>0.43699070741138668</v>
      </c>
      <c r="Q174" s="10">
        <v>28.950448672</v>
      </c>
      <c r="R174" s="10">
        <v>49.880275726299999</v>
      </c>
      <c r="S174" s="10">
        <v>47.967887878399999</v>
      </c>
      <c r="T174" s="10">
        <v>46.975711822500003</v>
      </c>
      <c r="U174" s="10">
        <v>55.512866973900003</v>
      </c>
      <c r="V174" s="10">
        <v>49.064640045200001</v>
      </c>
      <c r="W174" s="10">
        <v>28.090126489999999</v>
      </c>
      <c r="X174" s="10">
        <v>-26.232445909999999</v>
      </c>
    </row>
    <row r="175" spans="1:24" x14ac:dyDescent="0.45">
      <c r="A175">
        <v>79800058</v>
      </c>
      <c r="B175" t="s">
        <v>38</v>
      </c>
      <c r="D175">
        <v>1</v>
      </c>
      <c r="E175" s="10">
        <v>0.63518185762960278</v>
      </c>
      <c r="F175" s="10">
        <v>1.8384108667380918E-2</v>
      </c>
      <c r="G175" s="10">
        <v>0.91640131439415418</v>
      </c>
      <c r="H175" s="10">
        <v>0.23444512056485331</v>
      </c>
      <c r="I175" s="10">
        <v>4.2384435597881354E-2</v>
      </c>
      <c r="J175" s="10">
        <v>3.6418522434135056E-2</v>
      </c>
      <c r="K175" s="10">
        <v>7.498399622999365E-3</v>
      </c>
      <c r="L175" s="10">
        <v>0.41977288686568309</v>
      </c>
      <c r="M175" s="10">
        <v>0.43492601826009236</v>
      </c>
      <c r="N175" s="10">
        <v>0.47495227453931921</v>
      </c>
      <c r="O175" s="10">
        <v>0.49242654444026307</v>
      </c>
      <c r="P175" s="10">
        <v>0.45551943102633941</v>
      </c>
      <c r="Q175" s="10">
        <v>22.121282577500001</v>
      </c>
      <c r="R175" s="10">
        <v>43.232847690600003</v>
      </c>
      <c r="S175" s="10">
        <v>38.271649479899999</v>
      </c>
      <c r="T175" s="10">
        <v>39.086822628999997</v>
      </c>
      <c r="U175" s="10">
        <v>52.066545963300001</v>
      </c>
      <c r="V175" s="10">
        <v>43.506370306000001</v>
      </c>
      <c r="W175" s="10">
        <v>28.00683562</v>
      </c>
      <c r="X175" s="10">
        <v>-26.202927119999998</v>
      </c>
    </row>
    <row r="176" spans="1:24" x14ac:dyDescent="0.45">
      <c r="A176">
        <v>79800059</v>
      </c>
      <c r="B176" t="s">
        <v>38</v>
      </c>
      <c r="D176">
        <v>1</v>
      </c>
      <c r="E176" s="10">
        <v>0.69099199735572536</v>
      </c>
      <c r="F176" s="10">
        <v>2.1065991262827597E-3</v>
      </c>
      <c r="G176" s="10">
        <v>0.94882434230205526</v>
      </c>
      <c r="H176" s="10">
        <v>0</v>
      </c>
      <c r="I176" s="10">
        <v>3.7090884180230282E-3</v>
      </c>
      <c r="J176" s="10">
        <v>0.23734819395412329</v>
      </c>
      <c r="K176" s="10">
        <v>3.4893566985859867E-3</v>
      </c>
      <c r="L176" s="10">
        <v>0.22366457380324523</v>
      </c>
      <c r="M176" s="10">
        <v>0.25609627307596428</v>
      </c>
      <c r="N176" s="10">
        <v>0.28316928381573497</v>
      </c>
      <c r="O176" s="10">
        <v>0.22876164719127492</v>
      </c>
      <c r="P176" s="10">
        <v>0.24792294447155486</v>
      </c>
      <c r="Q176" s="10">
        <v>23.936697006199999</v>
      </c>
      <c r="R176" s="10">
        <v>43.445297241200002</v>
      </c>
      <c r="S176" s="10">
        <v>39.391731262199997</v>
      </c>
      <c r="T176" s="10">
        <v>40.918197631799998</v>
      </c>
      <c r="U176" s="10">
        <v>51.241180419899997</v>
      </c>
      <c r="V176" s="10">
        <v>42.230079650900002</v>
      </c>
      <c r="W176" s="10">
        <v>28.046583380000001</v>
      </c>
      <c r="X176" s="10">
        <v>-26.197451180000002</v>
      </c>
    </row>
    <row r="177" spans="1:24" x14ac:dyDescent="0.45">
      <c r="A177">
        <v>79800060</v>
      </c>
      <c r="B177" t="s">
        <v>38</v>
      </c>
      <c r="D177">
        <v>1</v>
      </c>
      <c r="E177" s="10">
        <v>0.66987214755575575</v>
      </c>
      <c r="F177" s="10">
        <v>4.0007245601642351E-3</v>
      </c>
      <c r="G177" s="10">
        <v>0.92798473821224559</v>
      </c>
      <c r="H177" s="10">
        <v>0.36327097945332443</v>
      </c>
      <c r="I177" s="10">
        <v>5.3512263506038877E-3</v>
      </c>
      <c r="J177" s="10">
        <v>7.5237243484393271E-2</v>
      </c>
      <c r="K177" s="10">
        <v>3.4364398115571343E-3</v>
      </c>
      <c r="L177" s="10">
        <v>0.31272816969450984</v>
      </c>
      <c r="M177" s="10">
        <v>0.32685875371799994</v>
      </c>
      <c r="N177" s="10">
        <v>0.30730369400593432</v>
      </c>
      <c r="O177" s="10">
        <v>0.31447390957989668</v>
      </c>
      <c r="P177" s="10">
        <v>0.31534113174958522</v>
      </c>
      <c r="Q177" s="10">
        <v>23.520740508999999</v>
      </c>
      <c r="R177" s="10">
        <v>42.631562868800003</v>
      </c>
      <c r="S177" s="10">
        <v>38.135957241100002</v>
      </c>
      <c r="T177" s="10">
        <v>39.900782585100004</v>
      </c>
      <c r="U177" s="10">
        <v>50.859829425800001</v>
      </c>
      <c r="V177" s="10">
        <v>41.629679679900001</v>
      </c>
      <c r="W177" s="10">
        <v>28.03271866</v>
      </c>
      <c r="X177" s="10">
        <v>-26.194820279999998</v>
      </c>
    </row>
    <row r="178" spans="1:24" x14ac:dyDescent="0.45">
      <c r="A178">
        <v>79800061</v>
      </c>
      <c r="B178" t="s">
        <v>38</v>
      </c>
      <c r="D178">
        <v>1</v>
      </c>
      <c r="E178" s="10">
        <v>0.77971726128934249</v>
      </c>
      <c r="F178" s="10">
        <v>1.0505537328546331E-2</v>
      </c>
      <c r="G178" s="10">
        <v>0.90996730788018343</v>
      </c>
      <c r="H178" s="10">
        <v>1</v>
      </c>
      <c r="I178" s="10">
        <v>9.9710057145787193E-2</v>
      </c>
      <c r="J178" s="10">
        <v>6.2511231447087354E-2</v>
      </c>
      <c r="K178" s="10">
        <v>4.7698130271958548E-4</v>
      </c>
      <c r="L178" s="10">
        <v>0.20220334495883935</v>
      </c>
      <c r="M178" s="10">
        <v>0.24551944682380347</v>
      </c>
      <c r="N178" s="10">
        <v>0.22032345507613826</v>
      </c>
      <c r="O178" s="10">
        <v>0.25127488942719894</v>
      </c>
      <c r="P178" s="10">
        <v>0.22983028407149503</v>
      </c>
      <c r="Q178" s="10">
        <v>23.857843399</v>
      </c>
      <c r="R178" s="10">
        <v>45.713363170599997</v>
      </c>
      <c r="S178" s="10">
        <v>42.497067451500001</v>
      </c>
      <c r="T178" s="10">
        <v>42.750021934499998</v>
      </c>
      <c r="U178" s="10">
        <v>52.724740028399999</v>
      </c>
      <c r="V178" s="10">
        <v>44.881618976600002</v>
      </c>
      <c r="W178" s="10">
        <v>28.066289640000001</v>
      </c>
      <c r="X178" s="10">
        <v>-26.206462399999999</v>
      </c>
    </row>
    <row r="179" spans="1:24" x14ac:dyDescent="0.45">
      <c r="A179">
        <v>79800062</v>
      </c>
      <c r="B179" t="s">
        <v>38</v>
      </c>
      <c r="D179">
        <v>1</v>
      </c>
      <c r="E179" s="10">
        <v>0.94373054611731066</v>
      </c>
      <c r="F179" s="10">
        <v>1.3669325324392012E-3</v>
      </c>
      <c r="G179" s="10">
        <v>0.99548030439101154</v>
      </c>
      <c r="H179" s="10">
        <v>0</v>
      </c>
      <c r="I179" s="10">
        <v>2.9031601431082091E-4</v>
      </c>
      <c r="J179" s="10">
        <v>1</v>
      </c>
      <c r="K179" s="10">
        <v>0</v>
      </c>
      <c r="L179" s="10">
        <v>1.4549782641837561E-2</v>
      </c>
      <c r="M179" s="10">
        <v>9.8478095079184105E-2</v>
      </c>
      <c r="N179" s="10">
        <v>5.8693757263826821E-2</v>
      </c>
      <c r="O179" s="10">
        <v>2.4897818418097201E-2</v>
      </c>
      <c r="P179" s="10">
        <v>4.9154863350736426E-2</v>
      </c>
      <c r="Q179" s="10">
        <v>23.652272224400001</v>
      </c>
      <c r="R179" s="10">
        <v>42.363180160500001</v>
      </c>
      <c r="S179" s="10">
        <v>37.668142318699999</v>
      </c>
      <c r="T179" s="10">
        <v>40.775150299099998</v>
      </c>
      <c r="U179" s="10">
        <v>50.708349227900001</v>
      </c>
      <c r="V179" s="10">
        <v>40.3010730743</v>
      </c>
      <c r="W179" s="10">
        <v>28.047821079999999</v>
      </c>
      <c r="X179" s="10">
        <v>-26.185937160000002</v>
      </c>
    </row>
    <row r="180" spans="1:24" x14ac:dyDescent="0.45">
      <c r="A180">
        <v>79800063</v>
      </c>
      <c r="B180" t="s">
        <v>38</v>
      </c>
      <c r="D180">
        <v>1</v>
      </c>
      <c r="E180" s="10">
        <v>0.94343094309697939</v>
      </c>
      <c r="F180" s="10">
        <v>9.0296621738744111E-4</v>
      </c>
      <c r="G180" s="10">
        <v>1</v>
      </c>
      <c r="H180" s="10">
        <v>0</v>
      </c>
      <c r="I180" s="10">
        <v>3.0256859027537998E-3</v>
      </c>
      <c r="J180" s="10">
        <v>0.90678960193088243</v>
      </c>
      <c r="K180" s="10">
        <v>5.0353706816805982E-3</v>
      </c>
      <c r="L180" s="10">
        <v>0</v>
      </c>
      <c r="M180" s="10">
        <v>6.572760562976239E-2</v>
      </c>
      <c r="N180" s="10">
        <v>7.0829511746911471E-5</v>
      </c>
      <c r="O180" s="10">
        <v>0</v>
      </c>
      <c r="P180" s="10">
        <v>1.6449608785377327E-2</v>
      </c>
      <c r="Q180" s="10">
        <v>23.977779388399998</v>
      </c>
      <c r="R180" s="10">
        <v>39.270306587225001</v>
      </c>
      <c r="S180" s="10">
        <v>33.011329650900002</v>
      </c>
      <c r="T180" s="10">
        <v>39.665573120099999</v>
      </c>
      <c r="U180" s="10">
        <v>48.911128997799999</v>
      </c>
      <c r="V180" s="10">
        <v>35.493194580100003</v>
      </c>
      <c r="W180" s="10">
        <v>28.04886522</v>
      </c>
      <c r="X180" s="10">
        <v>-26.189945470000001</v>
      </c>
    </row>
    <row r="181" spans="1:24" x14ac:dyDescent="0.45">
      <c r="A181">
        <v>79800064</v>
      </c>
      <c r="B181" t="s">
        <v>38</v>
      </c>
      <c r="D181">
        <v>1</v>
      </c>
      <c r="E181" s="10">
        <v>0.7185259254490648</v>
      </c>
      <c r="F181" s="10">
        <v>3.1615741841093609E-3</v>
      </c>
      <c r="G181" s="10">
        <v>0.99058867004017404</v>
      </c>
      <c r="H181" s="10">
        <v>6.4010649044358228E-3</v>
      </c>
      <c r="I181" s="10">
        <v>5.1656208152510603E-3</v>
      </c>
      <c r="J181" s="10">
        <v>0.23870425290626879</v>
      </c>
      <c r="K181" s="10">
        <v>6.3594973654176731E-3</v>
      </c>
      <c r="L181" s="10">
        <v>0.38745386220103301</v>
      </c>
      <c r="M181" s="10">
        <v>0.40816404984130533</v>
      </c>
      <c r="N181" s="10">
        <v>0.40169356504797776</v>
      </c>
      <c r="O181" s="10">
        <v>0.41695643335090843</v>
      </c>
      <c r="P181" s="10">
        <v>0.40356697761030613</v>
      </c>
      <c r="Q181" s="10">
        <v>23.073210716199998</v>
      </c>
      <c r="R181" s="10">
        <v>43.076800346399999</v>
      </c>
      <c r="S181" s="10">
        <v>38.541872978199997</v>
      </c>
      <c r="T181" s="10">
        <v>41.618620872500003</v>
      </c>
      <c r="U181" s="10">
        <v>51.281414985700003</v>
      </c>
      <c r="V181" s="10">
        <v>40.8653001785</v>
      </c>
      <c r="W181" s="10">
        <v>28.057366900000002</v>
      </c>
      <c r="X181" s="10">
        <v>-26.186128369999999</v>
      </c>
    </row>
    <row r="182" spans="1:24" x14ac:dyDescent="0.45">
      <c r="A182">
        <v>79800086</v>
      </c>
      <c r="B182" t="s">
        <v>38</v>
      </c>
      <c r="D182">
        <v>1</v>
      </c>
      <c r="E182" s="10">
        <v>0.76410741508776159</v>
      </c>
      <c r="F182" s="10">
        <v>2.6212658120001175E-2</v>
      </c>
      <c r="G182" s="10">
        <v>0.89100041177592548</v>
      </c>
      <c r="H182" s="10">
        <v>5.1334547345298617E-2</v>
      </c>
      <c r="I182" s="10">
        <v>1.6647946977383473E-2</v>
      </c>
      <c r="J182" s="10">
        <v>2.9004240875926235E-2</v>
      </c>
      <c r="K182" s="10">
        <v>2.5483920667544801E-2</v>
      </c>
      <c r="L182" s="10">
        <v>0.62156788211748992</v>
      </c>
      <c r="M182" s="10">
        <v>0.62990678299269232</v>
      </c>
      <c r="N182" s="10">
        <v>0.62257883908251732</v>
      </c>
      <c r="O182" s="10">
        <v>0.6795001805776405</v>
      </c>
      <c r="P182" s="10">
        <v>0.63838842119258499</v>
      </c>
      <c r="Q182" s="10">
        <v>21.738387107800001</v>
      </c>
      <c r="R182" s="10">
        <v>38.546806335399999</v>
      </c>
      <c r="S182" s="10">
        <v>31.8401699066</v>
      </c>
      <c r="T182" s="10">
        <v>36.226501464800002</v>
      </c>
      <c r="U182" s="10">
        <v>48.674789428700002</v>
      </c>
      <c r="V182" s="10">
        <v>37.445766448999997</v>
      </c>
      <c r="W182" s="10">
        <v>27.958206369999999</v>
      </c>
      <c r="X182" s="10">
        <v>-26.168114970000001</v>
      </c>
    </row>
    <row r="183" spans="1:24" x14ac:dyDescent="0.45">
      <c r="A183">
        <v>79800087</v>
      </c>
      <c r="B183" t="s">
        <v>38</v>
      </c>
      <c r="D183">
        <v>1</v>
      </c>
      <c r="E183" s="10">
        <v>0.75008935656163755</v>
      </c>
      <c r="F183" s="10">
        <v>8.8028441111527772E-2</v>
      </c>
      <c r="G183" s="10">
        <v>0.81850807647345281</v>
      </c>
      <c r="H183" s="10">
        <v>7.9899102632884737E-3</v>
      </c>
      <c r="I183" s="10">
        <v>1.7590457441833652E-3</v>
      </c>
      <c r="J183" s="10">
        <v>1.4979678988127592E-2</v>
      </c>
      <c r="K183" s="10">
        <v>1.9774265700938175E-2</v>
      </c>
      <c r="L183" s="10">
        <v>0.91825952622525142</v>
      </c>
      <c r="M183" s="10">
        <v>0.86910688765575617</v>
      </c>
      <c r="N183" s="10">
        <v>1</v>
      </c>
      <c r="O183" s="10">
        <v>0.88662195934783061</v>
      </c>
      <c r="P183" s="10">
        <v>0.91849709330720963</v>
      </c>
      <c r="Q183" s="10">
        <v>22.033569335900001</v>
      </c>
      <c r="R183" s="10">
        <v>39.270305633500001</v>
      </c>
      <c r="S183" s="10">
        <v>33.011329650900002</v>
      </c>
      <c r="T183" s="10">
        <v>39.665573120099999</v>
      </c>
      <c r="U183" s="10">
        <v>48.911128997799999</v>
      </c>
      <c r="V183" s="10">
        <v>35.493194580100003</v>
      </c>
      <c r="W183" s="10">
        <v>28.022263420000002</v>
      </c>
      <c r="X183" s="10">
        <v>-26.166803810000001</v>
      </c>
    </row>
    <row r="184" spans="1:24" x14ac:dyDescent="0.45">
      <c r="A184">
        <v>79800088</v>
      </c>
      <c r="B184" t="s">
        <v>38</v>
      </c>
      <c r="D184">
        <v>1</v>
      </c>
      <c r="E184" s="10">
        <v>0.72676776009712829</v>
      </c>
      <c r="F184" s="10">
        <v>7.1331591262047744E-2</v>
      </c>
      <c r="G184" s="10">
        <v>0.80882006177459131</v>
      </c>
      <c r="H184" s="10">
        <v>1.4312102356784347E-3</v>
      </c>
      <c r="I184" s="10">
        <v>2.9277531717329663E-3</v>
      </c>
      <c r="J184" s="10">
        <v>1.0782592691162055E-2</v>
      </c>
      <c r="K184" s="10">
        <v>2.4703950096414976E-2</v>
      </c>
      <c r="L184" s="10">
        <v>0.8926112684706311</v>
      </c>
      <c r="M184" s="10">
        <v>0.79624198607685848</v>
      </c>
      <c r="N184" s="10">
        <v>0.87743452104219855</v>
      </c>
      <c r="O184" s="10">
        <v>0.90796294595875016</v>
      </c>
      <c r="P184" s="10">
        <v>0.8685626803871096</v>
      </c>
      <c r="Q184" s="10">
        <v>21.475403595</v>
      </c>
      <c r="R184" s="10">
        <v>38.884077857500003</v>
      </c>
      <c r="S184" s="10">
        <v>32.419630190900001</v>
      </c>
      <c r="T184" s="10">
        <v>37.177466616899999</v>
      </c>
      <c r="U184" s="10">
        <v>48.893818687</v>
      </c>
      <c r="V184" s="10">
        <v>37.045396860899999</v>
      </c>
      <c r="W184" s="10">
        <v>27.983111879999999</v>
      </c>
      <c r="X184" s="10">
        <v>-26.153628779999998</v>
      </c>
    </row>
    <row r="185" spans="1:24" x14ac:dyDescent="0.45">
      <c r="A185">
        <v>79800089</v>
      </c>
      <c r="B185" t="s">
        <v>38</v>
      </c>
      <c r="D185">
        <v>1</v>
      </c>
      <c r="E185" s="10">
        <v>0.79834985915204948</v>
      </c>
      <c r="F185" s="10">
        <v>3.3247453977675791E-2</v>
      </c>
      <c r="G185" s="10">
        <v>0.77787204199367799</v>
      </c>
      <c r="H185" s="10">
        <v>1.3262388574823413E-2</v>
      </c>
      <c r="I185" s="10">
        <v>4.3255232626824413E-3</v>
      </c>
      <c r="J185" s="10">
        <v>1.8391544851179182E-2</v>
      </c>
      <c r="K185" s="10">
        <v>2.3303091070146328E-2</v>
      </c>
      <c r="L185" s="10">
        <v>0.82747849767389869</v>
      </c>
      <c r="M185" s="10">
        <v>0.6928754482117786</v>
      </c>
      <c r="N185" s="10">
        <v>0.73839060366040987</v>
      </c>
      <c r="O185" s="10">
        <v>0.80793265653955904</v>
      </c>
      <c r="P185" s="10">
        <v>0.76666930152141166</v>
      </c>
      <c r="Q185" s="10">
        <v>20.284489631700001</v>
      </c>
      <c r="R185" s="10">
        <v>36.680468150499998</v>
      </c>
      <c r="S185" s="10">
        <v>30.885432016300001</v>
      </c>
      <c r="T185" s="10">
        <v>33.897995358400003</v>
      </c>
      <c r="U185" s="10">
        <v>46.394481840600001</v>
      </c>
      <c r="V185" s="10">
        <v>35.543964204300003</v>
      </c>
      <c r="W185" s="10">
        <v>27.93119815</v>
      </c>
      <c r="X185" s="10">
        <v>-26.141253330000001</v>
      </c>
    </row>
    <row r="186" spans="1:24" x14ac:dyDescent="0.45">
      <c r="A186">
        <v>79800090</v>
      </c>
      <c r="B186" t="s">
        <v>38</v>
      </c>
      <c r="D186">
        <v>1</v>
      </c>
      <c r="E186" s="10">
        <v>0.83034208343107596</v>
      </c>
      <c r="F186" s="10">
        <v>4.4684282544834787E-2</v>
      </c>
      <c r="G186" s="10">
        <v>0.72630970824679331</v>
      </c>
      <c r="H186" s="10">
        <v>6.574272213301424E-4</v>
      </c>
      <c r="I186" s="10">
        <v>3.1460607573788341E-3</v>
      </c>
      <c r="J186" s="10">
        <v>1.3769247480055796E-2</v>
      </c>
      <c r="K186" s="10">
        <v>2.5039684956654238E-2</v>
      </c>
      <c r="L186" s="10">
        <v>0.87313636802490291</v>
      </c>
      <c r="M186" s="10">
        <v>0.85990564969105476</v>
      </c>
      <c r="N186" s="10">
        <v>0.92974607353037586</v>
      </c>
      <c r="O186" s="10">
        <v>0.82701146375262091</v>
      </c>
      <c r="P186" s="10">
        <v>0.87244988874973861</v>
      </c>
      <c r="Q186" s="10">
        <v>21.834934997600001</v>
      </c>
      <c r="R186" s="10">
        <v>41.542106355900003</v>
      </c>
      <c r="S186" s="10">
        <v>34.754416670099999</v>
      </c>
      <c r="T186" s="10">
        <v>43.344736984800001</v>
      </c>
      <c r="U186" s="10">
        <v>52.128277437999998</v>
      </c>
      <c r="V186" s="10">
        <v>35.940990856699997</v>
      </c>
      <c r="W186" s="10">
        <v>28.0346476</v>
      </c>
      <c r="X186" s="10">
        <v>-26.116050940000001</v>
      </c>
    </row>
    <row r="187" spans="1:24" x14ac:dyDescent="0.45">
      <c r="A187">
        <v>79800091</v>
      </c>
      <c r="B187" t="s">
        <v>38</v>
      </c>
      <c r="D187">
        <v>1</v>
      </c>
      <c r="E187" s="10">
        <v>0.80517014629223771</v>
      </c>
      <c r="F187" s="10">
        <v>5.5871253124969253E-2</v>
      </c>
      <c r="G187" s="10">
        <v>0.7283814345250994</v>
      </c>
      <c r="H187" s="10">
        <v>0.40464980898984632</v>
      </c>
      <c r="I187" s="10">
        <v>0.11017371786628631</v>
      </c>
      <c r="J187" s="10">
        <v>2.2172061363229068E-2</v>
      </c>
      <c r="K187" s="10">
        <v>2.3581451648774395E-2</v>
      </c>
      <c r="L187" s="10">
        <v>0.68094425274667847</v>
      </c>
      <c r="M187" s="10">
        <v>0.56503222416850241</v>
      </c>
      <c r="N187" s="10">
        <v>0.70511733784373287</v>
      </c>
      <c r="O187" s="10">
        <v>0.64212758782021473</v>
      </c>
      <c r="P187" s="10">
        <v>0.64830535064478212</v>
      </c>
      <c r="Q187" s="10">
        <v>22.673160552999999</v>
      </c>
      <c r="R187" s="10">
        <v>46.552272796600001</v>
      </c>
      <c r="S187" s="10">
        <v>38.557636260999999</v>
      </c>
      <c r="T187" s="10">
        <v>50.857742309599999</v>
      </c>
      <c r="U187" s="10">
        <v>58.835964202900001</v>
      </c>
      <c r="V187" s="10">
        <v>37.957748413099999</v>
      </c>
      <c r="W187" s="10">
        <v>28.07006256</v>
      </c>
      <c r="X187" s="10">
        <v>-26.11085967</v>
      </c>
    </row>
    <row r="188" spans="1:24" x14ac:dyDescent="0.45">
      <c r="A188">
        <v>79800092</v>
      </c>
      <c r="B188" t="s">
        <v>38</v>
      </c>
      <c r="D188">
        <v>1</v>
      </c>
      <c r="E188" s="10">
        <v>0.5700987560177545</v>
      </c>
      <c r="F188" s="10">
        <v>2.1845770962191043E-2</v>
      </c>
      <c r="G188" s="10">
        <v>0.67548038901045016</v>
      </c>
      <c r="H188" s="10">
        <v>0.12092334977003399</v>
      </c>
      <c r="I188" s="10">
        <v>0.11590655545819493</v>
      </c>
      <c r="J188" s="10">
        <v>9.3340467912578669E-3</v>
      </c>
      <c r="K188" s="10">
        <v>6.9762524796185874E-2</v>
      </c>
      <c r="L188" s="10">
        <v>0.72535368236260611</v>
      </c>
      <c r="M188" s="10">
        <v>0.80057672916785916</v>
      </c>
      <c r="N188" s="10">
        <v>0.65519467782523932</v>
      </c>
      <c r="O188" s="10">
        <v>0.85726835223961961</v>
      </c>
      <c r="P188" s="10">
        <v>0.75959836039883111</v>
      </c>
      <c r="Q188" s="10">
        <v>23.322179521799999</v>
      </c>
      <c r="R188" s="10">
        <v>46.477989196800003</v>
      </c>
      <c r="S188" s="10">
        <v>35.399013519299999</v>
      </c>
      <c r="T188" s="10">
        <v>51.010688781699997</v>
      </c>
      <c r="U188" s="10">
        <v>62.2971763611</v>
      </c>
      <c r="V188" s="10">
        <v>37.205078125</v>
      </c>
      <c r="W188" s="10">
        <v>28.148582260000001</v>
      </c>
      <c r="X188" s="10">
        <v>-25.961379399999998</v>
      </c>
    </row>
    <row r="189" spans="1:24" x14ac:dyDescent="0.45">
      <c r="A189">
        <v>79800093</v>
      </c>
      <c r="B189" t="s">
        <v>38</v>
      </c>
      <c r="D189">
        <v>1</v>
      </c>
      <c r="E189" s="10">
        <v>0.36230711033216623</v>
      </c>
      <c r="F189" s="10">
        <v>2.4525606830701839E-2</v>
      </c>
      <c r="G189" s="10">
        <v>0.52483587268795706</v>
      </c>
      <c r="H189" s="10">
        <v>2.9621572572134124E-2</v>
      </c>
      <c r="I189" s="10">
        <v>1.6338002920004919E-3</v>
      </c>
      <c r="J189" s="10">
        <v>4.8862069335570959E-3</v>
      </c>
      <c r="K189" s="10">
        <v>4.1598362669486952E-2</v>
      </c>
      <c r="L189" s="10">
        <v>0.70607308163594429</v>
      </c>
      <c r="M189" s="10">
        <v>0.80639910011096538</v>
      </c>
      <c r="N189" s="10">
        <v>0.68851899272466388</v>
      </c>
      <c r="O189" s="10">
        <v>0.81161172737229437</v>
      </c>
      <c r="P189" s="10">
        <v>0.75315072546096706</v>
      </c>
      <c r="Q189" s="10">
        <v>23.963934421499999</v>
      </c>
      <c r="R189" s="10">
        <v>49.761840355099999</v>
      </c>
      <c r="S189" s="10">
        <v>38.882805552900003</v>
      </c>
      <c r="T189" s="10">
        <v>54.839632359900001</v>
      </c>
      <c r="U189" s="10">
        <v>65.309122907399995</v>
      </c>
      <c r="V189" s="10">
        <v>40.015800196999997</v>
      </c>
      <c r="W189" s="10">
        <v>28.073898020000001</v>
      </c>
      <c r="X189" s="10">
        <v>-26.02024673</v>
      </c>
    </row>
    <row r="190" spans="1:24" x14ac:dyDescent="0.45">
      <c r="A190">
        <v>79800094</v>
      </c>
      <c r="B190" t="s">
        <v>38</v>
      </c>
      <c r="D190">
        <v>1</v>
      </c>
      <c r="E190" s="10">
        <v>0.61773945245138329</v>
      </c>
      <c r="F190" s="10">
        <v>5.776788208656073E-2</v>
      </c>
      <c r="G190" s="10">
        <v>0.50868963160493019</v>
      </c>
      <c r="H190" s="10">
        <v>3.5192030591891549E-2</v>
      </c>
      <c r="I190" s="10">
        <v>6.9558960434100833E-3</v>
      </c>
      <c r="J190" s="10">
        <v>3.5270483186019244E-3</v>
      </c>
      <c r="K190" s="10">
        <v>6.4417770885870002E-2</v>
      </c>
      <c r="L190" s="10">
        <v>0.81095723299466882</v>
      </c>
      <c r="M190" s="10">
        <v>0.93480277854017835</v>
      </c>
      <c r="N190" s="10">
        <v>0.77156414791983563</v>
      </c>
      <c r="O190" s="10">
        <v>0.90384074857476437</v>
      </c>
      <c r="P190" s="10">
        <v>0.85529122700736182</v>
      </c>
      <c r="Q190" s="10">
        <v>23.374554634100001</v>
      </c>
      <c r="R190" s="10">
        <v>52.295322709399997</v>
      </c>
      <c r="S190" s="10">
        <v>41.158039821000003</v>
      </c>
      <c r="T190" s="10">
        <v>57.385537154799998</v>
      </c>
      <c r="U190" s="10">
        <v>67.9587806527</v>
      </c>
      <c r="V190" s="10">
        <v>42.678932917899999</v>
      </c>
      <c r="W190" s="10">
        <v>28.039152789999999</v>
      </c>
      <c r="X190" s="10">
        <v>-25.9864888</v>
      </c>
    </row>
    <row r="191" spans="1:24" x14ac:dyDescent="0.45">
      <c r="A191">
        <v>79800095</v>
      </c>
      <c r="B191" t="s">
        <v>38</v>
      </c>
      <c r="D191">
        <v>1</v>
      </c>
      <c r="E191" s="10">
        <v>0.81269455819847236</v>
      </c>
      <c r="F191" s="10">
        <v>6.5093078946609692E-2</v>
      </c>
      <c r="G191" s="10">
        <v>0.49000707855511616</v>
      </c>
      <c r="H191" s="10">
        <v>1.9532950761023706E-2</v>
      </c>
      <c r="I191" s="10">
        <v>0.79562750420819628</v>
      </c>
      <c r="J191" s="10">
        <v>0.26367753752863127</v>
      </c>
      <c r="K191" s="10">
        <v>1.7096880782321702E-2</v>
      </c>
      <c r="L191" s="10">
        <v>0.2833955774600922</v>
      </c>
      <c r="M191" s="10">
        <v>0.2926138138076616</v>
      </c>
      <c r="N191" s="10">
        <v>0.27995956575440156</v>
      </c>
      <c r="O191" s="10">
        <v>0.32650515206261471</v>
      </c>
      <c r="P191" s="10">
        <v>0.29561852727119253</v>
      </c>
      <c r="Q191" s="10">
        <v>24.685635702999999</v>
      </c>
      <c r="R191" s="10">
        <v>55.937011718800001</v>
      </c>
      <c r="S191" s="10">
        <v>44.345123291</v>
      </c>
      <c r="T191" s="10">
        <v>61.333919525100001</v>
      </c>
      <c r="U191" s="10">
        <v>71.684463500999996</v>
      </c>
      <c r="V191" s="10">
        <v>46.384548187299998</v>
      </c>
      <c r="W191" s="10">
        <v>28.01762901</v>
      </c>
      <c r="X191" s="10">
        <v>-25.924031790000001</v>
      </c>
    </row>
    <row r="192" spans="1:24" x14ac:dyDescent="0.45">
      <c r="A192">
        <v>79800096</v>
      </c>
      <c r="B192" t="s">
        <v>38</v>
      </c>
      <c r="D192">
        <v>1</v>
      </c>
      <c r="E192" s="10">
        <v>0.27211389376352102</v>
      </c>
      <c r="F192" s="10">
        <v>0.1816913587976437</v>
      </c>
      <c r="G192" s="10">
        <v>0.41184081344419349</v>
      </c>
      <c r="H192" s="10">
        <v>9.4333052828439942E-2</v>
      </c>
      <c r="I192" s="10">
        <v>0.12531688548153788</v>
      </c>
      <c r="J192" s="10">
        <v>3.026438522190979E-3</v>
      </c>
      <c r="K192" s="10">
        <v>0.10417737816592541</v>
      </c>
      <c r="L192" s="10">
        <v>0.72317579632924833</v>
      </c>
      <c r="M192" s="10">
        <v>0.93679295566977538</v>
      </c>
      <c r="N192" s="10">
        <v>0.7135328372752785</v>
      </c>
      <c r="O192" s="10">
        <v>0.90007231263994503</v>
      </c>
      <c r="P192" s="10">
        <v>0.81839347547856178</v>
      </c>
      <c r="Q192" s="10">
        <v>25.8314981915</v>
      </c>
      <c r="R192" s="10">
        <v>56.109428405800003</v>
      </c>
      <c r="S192" s="10">
        <v>44.949133555099998</v>
      </c>
      <c r="T192" s="10">
        <v>60.8433761597</v>
      </c>
      <c r="U192" s="10">
        <v>71.654129028300005</v>
      </c>
      <c r="V192" s="10">
        <v>46.991074879999999</v>
      </c>
      <c r="W192" s="10">
        <v>27.961432240000001</v>
      </c>
      <c r="X192" s="10">
        <v>-25.969366449999999</v>
      </c>
    </row>
    <row r="193" spans="1:24" x14ac:dyDescent="0.45">
      <c r="A193">
        <v>79800097</v>
      </c>
      <c r="B193" t="s">
        <v>38</v>
      </c>
      <c r="D193">
        <v>1</v>
      </c>
      <c r="E193" s="10">
        <v>0.56223623967251246</v>
      </c>
      <c r="F193" s="10">
        <v>3.0423684234593087E-2</v>
      </c>
      <c r="G193" s="10">
        <v>0.6716983250334827</v>
      </c>
      <c r="H193" s="10">
        <v>3.3056566978258928E-2</v>
      </c>
      <c r="I193" s="10">
        <v>6.6580037048051275E-3</v>
      </c>
      <c r="J193" s="10">
        <v>8.5378878461160827E-3</v>
      </c>
      <c r="K193" s="10">
        <v>6.6252916413639285E-2</v>
      </c>
      <c r="L193" s="10">
        <v>0.81624006880561628</v>
      </c>
      <c r="M193" s="10">
        <v>0.86140341522656094</v>
      </c>
      <c r="N193" s="10">
        <v>0.70509618365138726</v>
      </c>
      <c r="O193" s="10">
        <v>0.90092948971744791</v>
      </c>
      <c r="P193" s="10">
        <v>0.8209172893502531</v>
      </c>
      <c r="Q193" s="10">
        <v>20.718098831199999</v>
      </c>
      <c r="R193" s="10">
        <v>34.897598266599999</v>
      </c>
      <c r="S193" s="10">
        <v>29.198051452600001</v>
      </c>
      <c r="T193" s="10">
        <v>33.405555725100001</v>
      </c>
      <c r="U193" s="10">
        <v>43.907917022699998</v>
      </c>
      <c r="V193" s="10">
        <v>33.078876495400003</v>
      </c>
      <c r="W193" s="10">
        <v>27.887569750000001</v>
      </c>
      <c r="X193" s="10">
        <v>-26.09085954</v>
      </c>
    </row>
    <row r="194" spans="1:24" x14ac:dyDescent="0.45">
      <c r="A194">
        <v>79800098</v>
      </c>
      <c r="B194" t="s">
        <v>38</v>
      </c>
      <c r="D194">
        <v>1</v>
      </c>
      <c r="E194" s="10">
        <v>0.75808474155190475</v>
      </c>
      <c r="F194" s="10">
        <v>3.480604743946162E-2</v>
      </c>
      <c r="G194" s="10">
        <v>0.67153043312058225</v>
      </c>
      <c r="H194" s="10">
        <v>9.5451674095951098E-3</v>
      </c>
      <c r="I194" s="10">
        <v>4.0919056686180462E-3</v>
      </c>
      <c r="J194" s="10">
        <v>2.2779995818816498E-2</v>
      </c>
      <c r="K194" s="10">
        <v>2.2718491795100309E-2</v>
      </c>
      <c r="L194" s="10">
        <v>0.87736281745511668</v>
      </c>
      <c r="M194" s="10">
        <v>0.75713655870231544</v>
      </c>
      <c r="N194" s="10">
        <v>0.89808338171847357</v>
      </c>
      <c r="O194" s="10">
        <v>0.86069363478750449</v>
      </c>
      <c r="P194" s="10">
        <v>0.8483190981658526</v>
      </c>
      <c r="Q194" s="10">
        <v>21.499046961499999</v>
      </c>
      <c r="R194" s="10">
        <v>39.295948028600002</v>
      </c>
      <c r="S194" s="10">
        <v>32.663391113300001</v>
      </c>
      <c r="T194" s="10">
        <v>39.473541259800001</v>
      </c>
      <c r="U194" s="10">
        <v>49.822177887000002</v>
      </c>
      <c r="V194" s="10">
        <v>35.2246818542</v>
      </c>
      <c r="W194" s="10">
        <v>27.962744430000001</v>
      </c>
      <c r="X194" s="10">
        <v>-26.121458690000001</v>
      </c>
    </row>
    <row r="195" spans="1:24" x14ac:dyDescent="0.45">
      <c r="A195">
        <v>79800099</v>
      </c>
      <c r="B195" t="s">
        <v>38</v>
      </c>
      <c r="D195">
        <v>1</v>
      </c>
      <c r="E195" s="10">
        <v>0.88615920932855552</v>
      </c>
      <c r="F195" s="10">
        <v>5.7908350245832345E-2</v>
      </c>
      <c r="G195" s="10">
        <v>0.74874338956837094</v>
      </c>
      <c r="H195" s="10">
        <v>4.647050998089906E-4</v>
      </c>
      <c r="I195" s="10">
        <v>0</v>
      </c>
      <c r="J195" s="10">
        <v>1.9857146166667804E-2</v>
      </c>
      <c r="K195" s="10">
        <v>2.2017644651511424E-2</v>
      </c>
      <c r="L195" s="10">
        <v>0.86245135724749755</v>
      </c>
      <c r="M195" s="10">
        <v>0.75761386343400938</v>
      </c>
      <c r="N195" s="10">
        <v>0.89119469654960204</v>
      </c>
      <c r="O195" s="10">
        <v>0.83325825058037228</v>
      </c>
      <c r="P195" s="10">
        <v>0.83612954195287026</v>
      </c>
      <c r="Q195" s="10">
        <v>22.460605621300001</v>
      </c>
      <c r="R195" s="10">
        <v>39.728059207699999</v>
      </c>
      <c r="S195" s="10">
        <v>33.0595011992</v>
      </c>
      <c r="T195" s="10">
        <v>39.725941489699998</v>
      </c>
      <c r="U195" s="10">
        <v>50.106474820300001</v>
      </c>
      <c r="V195" s="10">
        <v>36.020319546000003</v>
      </c>
      <c r="W195" s="10">
        <v>27.994281659999999</v>
      </c>
      <c r="X195" s="10">
        <v>-26.124185189999999</v>
      </c>
    </row>
    <row r="196" spans="1:24" x14ac:dyDescent="0.45">
      <c r="A196">
        <v>79800100</v>
      </c>
      <c r="B196" t="s">
        <v>38</v>
      </c>
      <c r="D196">
        <v>1</v>
      </c>
      <c r="E196" s="10">
        <v>0.5999442567458414</v>
      </c>
      <c r="F196" s="10">
        <v>3.8304675009532413E-2</v>
      </c>
      <c r="G196" s="10">
        <v>0.54633844448567481</v>
      </c>
      <c r="H196" s="10">
        <v>5.0715244496250658E-2</v>
      </c>
      <c r="I196" s="10">
        <v>4.4355095625589688E-2</v>
      </c>
      <c r="J196" s="10">
        <v>2.5457588209369122E-2</v>
      </c>
      <c r="K196" s="10">
        <v>7.6811576261598305E-2</v>
      </c>
      <c r="L196" s="10">
        <v>0.54320058270759752</v>
      </c>
      <c r="M196" s="10">
        <v>0.63828420630829308</v>
      </c>
      <c r="N196" s="10">
        <v>0.48633904932161037</v>
      </c>
      <c r="O196" s="10">
        <v>0.67754336948402394</v>
      </c>
      <c r="P196" s="10">
        <v>0.58634180195538121</v>
      </c>
      <c r="Q196" s="10">
        <v>23.769695282000001</v>
      </c>
      <c r="R196" s="10">
        <v>45.311607360799997</v>
      </c>
      <c r="S196" s="10">
        <v>37.152530670200001</v>
      </c>
      <c r="T196" s="10">
        <v>47.253444671600001</v>
      </c>
      <c r="U196" s="10">
        <v>57.605136871299997</v>
      </c>
      <c r="V196" s="10">
        <v>39.235313415500002</v>
      </c>
      <c r="W196" s="10">
        <v>27.933477750000002</v>
      </c>
      <c r="X196" s="10">
        <v>-26.029999589999999</v>
      </c>
    </row>
    <row r="197" spans="1:24" x14ac:dyDescent="0.45">
      <c r="A197">
        <v>79800101</v>
      </c>
      <c r="B197" t="s">
        <v>38</v>
      </c>
      <c r="D197">
        <v>1</v>
      </c>
      <c r="E197" s="10">
        <v>0.76672985142554106</v>
      </c>
      <c r="F197" s="10">
        <v>3.2162950945111603E-2</v>
      </c>
      <c r="G197" s="10">
        <v>0.61398644996337348</v>
      </c>
      <c r="H197" s="10">
        <v>2.5927520205828697E-2</v>
      </c>
      <c r="I197" s="10">
        <v>3.5269428474994126E-3</v>
      </c>
      <c r="J197" s="10">
        <v>1.980655683902054E-2</v>
      </c>
      <c r="K197" s="10">
        <v>4.5225335711376928E-2</v>
      </c>
      <c r="L197" s="10">
        <v>0.81294508173964253</v>
      </c>
      <c r="M197" s="10">
        <v>0.7937436761334884</v>
      </c>
      <c r="N197" s="10">
        <v>0.78652023570702656</v>
      </c>
      <c r="O197" s="10">
        <v>0.79908679515950654</v>
      </c>
      <c r="P197" s="10">
        <v>0.79807394718491609</v>
      </c>
      <c r="Q197" s="10">
        <v>22.961053212500001</v>
      </c>
      <c r="R197" s="10">
        <v>41.000101513300002</v>
      </c>
      <c r="S197" s="10">
        <v>33.910931304599998</v>
      </c>
      <c r="T197" s="10">
        <v>41.547582838300002</v>
      </c>
      <c r="U197" s="10">
        <v>51.881440409900001</v>
      </c>
      <c r="V197" s="10">
        <v>36.660451182599999</v>
      </c>
      <c r="W197" s="10">
        <v>27.960974409999999</v>
      </c>
      <c r="X197" s="10">
        <v>-26.076184659999999</v>
      </c>
    </row>
    <row r="198" spans="1:24" x14ac:dyDescent="0.45">
      <c r="A198">
        <v>79800102</v>
      </c>
      <c r="B198" t="s">
        <v>38</v>
      </c>
      <c r="D198">
        <v>1</v>
      </c>
      <c r="E198" s="10">
        <v>0.78640540155629424</v>
      </c>
      <c r="F198" s="10">
        <v>4.3280007743909166E-2</v>
      </c>
      <c r="G198" s="10">
        <v>0.6632742419215556</v>
      </c>
      <c r="H198" s="10">
        <v>9.5926455062471105E-3</v>
      </c>
      <c r="I198" s="10">
        <v>2.4063792275827948E-3</v>
      </c>
      <c r="J198" s="10">
        <v>1.7003724899690424E-2</v>
      </c>
      <c r="K198" s="10">
        <v>2.8786896681118387E-2</v>
      </c>
      <c r="L198" s="10">
        <v>0.82554117619326939</v>
      </c>
      <c r="M198" s="10">
        <v>0.81241617305932146</v>
      </c>
      <c r="N198" s="10">
        <v>0.84014038877112285</v>
      </c>
      <c r="O198" s="10">
        <v>0.80811092372930104</v>
      </c>
      <c r="P198" s="10">
        <v>0.82155216543825371</v>
      </c>
      <c r="Q198" s="10">
        <v>22.822825113899999</v>
      </c>
      <c r="R198" s="10">
        <v>42.517631530800003</v>
      </c>
      <c r="S198" s="10">
        <v>35.569713592500001</v>
      </c>
      <c r="T198" s="10">
        <v>45.090770721399998</v>
      </c>
      <c r="U198" s="10">
        <v>53.4077110291</v>
      </c>
      <c r="V198" s="10">
        <v>36.002323150599999</v>
      </c>
      <c r="W198" s="10">
        <v>28.008228070000001</v>
      </c>
      <c r="X198" s="10">
        <v>-26.090635729999999</v>
      </c>
    </row>
    <row r="199" spans="1:24" x14ac:dyDescent="0.45">
      <c r="A199">
        <v>79800103</v>
      </c>
      <c r="B199" t="s">
        <v>38</v>
      </c>
      <c r="D199">
        <v>1</v>
      </c>
      <c r="E199" s="10">
        <v>0.81786538748959148</v>
      </c>
      <c r="F199" s="10">
        <v>2.5793931671095522E-2</v>
      </c>
      <c r="G199" s="10">
        <v>0.63552031293974265</v>
      </c>
      <c r="H199" s="10">
        <v>3.1199035152134342E-3</v>
      </c>
      <c r="I199" s="10">
        <v>2.1157382935912418E-3</v>
      </c>
      <c r="J199" s="10">
        <v>1.4853899775672171E-2</v>
      </c>
      <c r="K199" s="10">
        <v>4.8974462497462429E-2</v>
      </c>
      <c r="L199" s="10">
        <v>0.84025143242355738</v>
      </c>
      <c r="M199" s="10">
        <v>0.81565041865310028</v>
      </c>
      <c r="N199" s="10">
        <v>0.87992452546006594</v>
      </c>
      <c r="O199" s="10">
        <v>0.80984789381182376</v>
      </c>
      <c r="P199" s="10">
        <v>0.83641856758713684</v>
      </c>
      <c r="Q199" s="10">
        <v>22.767727375</v>
      </c>
      <c r="R199" s="10">
        <v>45.109045235499998</v>
      </c>
      <c r="S199" s="10">
        <v>37.049490457600001</v>
      </c>
      <c r="T199" s="10">
        <v>48.5617729095</v>
      </c>
      <c r="U199" s="10">
        <v>57.350531842300001</v>
      </c>
      <c r="V199" s="10">
        <v>37.474381136600002</v>
      </c>
      <c r="W199" s="10">
        <v>28.047916610000001</v>
      </c>
      <c r="X199" s="10">
        <v>-26.079450479999998</v>
      </c>
    </row>
    <row r="200" spans="1:24" x14ac:dyDescent="0.45">
      <c r="A200">
        <v>79800104</v>
      </c>
      <c r="B200" t="s">
        <v>38</v>
      </c>
      <c r="D200">
        <v>1</v>
      </c>
      <c r="E200" s="10">
        <v>0.79006380223436701</v>
      </c>
      <c r="F200" s="10">
        <v>4.6991412690590838E-2</v>
      </c>
      <c r="G200" s="10">
        <v>0.5988117155400936</v>
      </c>
      <c r="H200" s="10">
        <v>0.13384753075358036</v>
      </c>
      <c r="I200" s="10">
        <v>1.1694635474753351E-2</v>
      </c>
      <c r="J200" s="10">
        <v>1.3525458701829769E-2</v>
      </c>
      <c r="K200" s="10">
        <v>3.975252124719416E-2</v>
      </c>
      <c r="L200" s="10">
        <v>0.81292606120787503</v>
      </c>
      <c r="M200" s="10">
        <v>0.83610934960128158</v>
      </c>
      <c r="N200" s="10">
        <v>0.83265637009272575</v>
      </c>
      <c r="O200" s="10">
        <v>0.81902663860160541</v>
      </c>
      <c r="P200" s="10">
        <v>0.82517960487587194</v>
      </c>
      <c r="Q200" s="10">
        <v>23.172114054400001</v>
      </c>
      <c r="R200" s="10">
        <v>42.598204956099998</v>
      </c>
      <c r="S200" s="10">
        <v>35.107710164399997</v>
      </c>
      <c r="T200" s="10">
        <v>44.136336161300001</v>
      </c>
      <c r="U200" s="10">
        <v>54.128543701200002</v>
      </c>
      <c r="V200" s="10">
        <v>37.0202265422</v>
      </c>
      <c r="W200" s="10">
        <v>27.98960954</v>
      </c>
      <c r="X200" s="10">
        <v>-26.076004019999999</v>
      </c>
    </row>
    <row r="201" spans="1:24" x14ac:dyDescent="0.45">
      <c r="A201">
        <v>79800105</v>
      </c>
      <c r="B201" t="s">
        <v>38</v>
      </c>
      <c r="D201">
        <v>1</v>
      </c>
      <c r="E201" s="10">
        <v>0.86796647614145384</v>
      </c>
      <c r="F201" s="10">
        <v>3.8509427711969206E-3</v>
      </c>
      <c r="G201" s="10">
        <v>0.64571754474395049</v>
      </c>
      <c r="H201" s="10">
        <v>5.6591694669954486E-2</v>
      </c>
      <c r="I201" s="10">
        <v>0.20367821039322676</v>
      </c>
      <c r="J201" s="10">
        <v>0.14381501077037318</v>
      </c>
      <c r="K201" s="10">
        <v>5.2044509150221609E-2</v>
      </c>
      <c r="L201" s="10">
        <v>0.27346197674323852</v>
      </c>
      <c r="M201" s="10">
        <v>0.32218235222262609</v>
      </c>
      <c r="N201" s="10">
        <v>0.2336805916302416</v>
      </c>
      <c r="O201" s="10">
        <v>0.32378838740475202</v>
      </c>
      <c r="P201" s="10">
        <v>0.28827832700021455</v>
      </c>
      <c r="Q201" s="10">
        <v>28.139944076500001</v>
      </c>
      <c r="R201" s="10">
        <v>46.607105842000003</v>
      </c>
      <c r="S201" s="10">
        <v>38.401999253500001</v>
      </c>
      <c r="T201" s="10">
        <v>50.888423919700003</v>
      </c>
      <c r="U201" s="10">
        <v>59.159711690999998</v>
      </c>
      <c r="V201" s="10">
        <v>37.978288797200001</v>
      </c>
      <c r="W201" s="10">
        <v>28.111997819999999</v>
      </c>
      <c r="X201" s="10">
        <v>-26.1001966</v>
      </c>
    </row>
    <row r="202" spans="1:24" x14ac:dyDescent="0.45">
      <c r="A202">
        <v>79800106</v>
      </c>
      <c r="B202" t="s">
        <v>38</v>
      </c>
      <c r="D202">
        <v>1</v>
      </c>
      <c r="E202" s="10">
        <v>0.6534467155558229</v>
      </c>
      <c r="F202" s="10">
        <v>3.8422456904289692E-2</v>
      </c>
      <c r="G202" s="10">
        <v>0.58113821748506311</v>
      </c>
      <c r="H202" s="10">
        <v>1.5278165663068593E-2</v>
      </c>
      <c r="I202" s="10">
        <v>5.3008345895307176E-3</v>
      </c>
      <c r="J202" s="10">
        <v>1.0156401784439736E-2</v>
      </c>
      <c r="K202" s="10">
        <v>2.1969665367814705E-2</v>
      </c>
      <c r="L202" s="10">
        <v>0.81795339650873211</v>
      </c>
      <c r="M202" s="10">
        <v>0.83067137049782969</v>
      </c>
      <c r="N202" s="10">
        <v>0.83130199680311523</v>
      </c>
      <c r="O202" s="10">
        <v>0.8333105296165203</v>
      </c>
      <c r="P202" s="10">
        <v>0.82830932335654928</v>
      </c>
      <c r="Q202" s="10">
        <v>23.782424163799998</v>
      </c>
      <c r="R202" s="10">
        <v>48.999666214000001</v>
      </c>
      <c r="S202" s="10">
        <v>38.707759857200003</v>
      </c>
      <c r="T202" s="10">
        <v>53.886177062999998</v>
      </c>
      <c r="U202" s="10">
        <v>63.902870178199997</v>
      </c>
      <c r="V202" s="10">
        <v>39.5018577576</v>
      </c>
      <c r="W202" s="10">
        <v>28.047467059999999</v>
      </c>
      <c r="X202" s="10">
        <v>-26.043230619999999</v>
      </c>
    </row>
    <row r="203" spans="1:24" x14ac:dyDescent="0.45">
      <c r="A203">
        <v>79800107</v>
      </c>
      <c r="B203" t="s">
        <v>38</v>
      </c>
      <c r="D203">
        <v>1</v>
      </c>
      <c r="E203" s="10">
        <v>0.96634300705197196</v>
      </c>
      <c r="F203" s="10">
        <v>6.6788664613451256E-3</v>
      </c>
      <c r="G203" s="10">
        <v>0.68421645635468131</v>
      </c>
      <c r="H203" s="10">
        <v>0</v>
      </c>
      <c r="I203" s="10">
        <v>6.660581932091042E-2</v>
      </c>
      <c r="J203" s="10">
        <v>0.45564599441358605</v>
      </c>
      <c r="K203" s="10">
        <v>3.5545526198237989E-2</v>
      </c>
      <c r="L203" s="10">
        <v>0.12689729701529526</v>
      </c>
      <c r="M203" s="10">
        <v>5.0427132663044744E-2</v>
      </c>
      <c r="N203" s="10">
        <v>6.6166238721120624E-2</v>
      </c>
      <c r="O203" s="10">
        <v>7.9461334375417164E-2</v>
      </c>
      <c r="P203" s="10">
        <v>8.0738000693719447E-2</v>
      </c>
      <c r="Q203" s="10">
        <v>25.4919071198</v>
      </c>
      <c r="R203" s="10">
        <v>45.675094604500003</v>
      </c>
      <c r="S203" s="10">
        <v>38.008876800499998</v>
      </c>
      <c r="T203" s="10">
        <v>49.536088943499998</v>
      </c>
      <c r="U203" s="10">
        <v>57.528190612800003</v>
      </c>
      <c r="V203" s="10">
        <v>37.627222061200001</v>
      </c>
      <c r="W203" s="10">
        <v>28.09469992</v>
      </c>
      <c r="X203" s="10">
        <v>-26.106037140000002</v>
      </c>
    </row>
    <row r="204" spans="1:24" x14ac:dyDescent="0.45">
      <c r="A204">
        <v>79800108</v>
      </c>
      <c r="B204" t="s">
        <v>38</v>
      </c>
      <c r="D204">
        <v>1</v>
      </c>
      <c r="E204" s="10">
        <v>0.94718209871854664</v>
      </c>
      <c r="F204" s="10">
        <v>1.4393351538310142E-2</v>
      </c>
      <c r="G204" s="10">
        <v>0.68460160848341323</v>
      </c>
      <c r="H204" s="10">
        <v>0.64365445113926145</v>
      </c>
      <c r="I204" s="10">
        <v>0.21526505019769951</v>
      </c>
      <c r="J204" s="10">
        <v>0.39776455183794712</v>
      </c>
      <c r="K204" s="10">
        <v>1.2826272960950701E-2</v>
      </c>
      <c r="L204" s="10">
        <v>7.6949009251329775E-2</v>
      </c>
      <c r="M204" s="10">
        <v>1.0565276137070192E-2</v>
      </c>
      <c r="N204" s="10">
        <v>2.6900343273403769E-2</v>
      </c>
      <c r="O204" s="10">
        <v>4.9497289658091546E-2</v>
      </c>
      <c r="P204" s="10">
        <v>4.0977979579973817E-2</v>
      </c>
      <c r="Q204" s="10">
        <v>25.785698572800001</v>
      </c>
      <c r="R204" s="10">
        <v>45.776789347300003</v>
      </c>
      <c r="S204" s="10">
        <v>37.964874267600003</v>
      </c>
      <c r="T204" s="10">
        <v>49.7303860982</v>
      </c>
      <c r="U204" s="10">
        <v>57.809112548800002</v>
      </c>
      <c r="V204" s="10">
        <v>37.602778116899998</v>
      </c>
      <c r="W204" s="10">
        <v>28.09142658</v>
      </c>
      <c r="X204" s="10">
        <v>-26.100647609999999</v>
      </c>
    </row>
    <row r="205" spans="1:24" x14ac:dyDescent="0.45">
      <c r="A205">
        <v>79800109</v>
      </c>
      <c r="B205" t="s">
        <v>38</v>
      </c>
      <c r="D205">
        <v>1</v>
      </c>
      <c r="E205" s="10">
        <v>0.84659525281336612</v>
      </c>
      <c r="F205" s="10">
        <v>0.14171269424875718</v>
      </c>
      <c r="G205" s="10">
        <v>0.65548696362919412</v>
      </c>
      <c r="H205" s="10">
        <v>0.26953527127807031</v>
      </c>
      <c r="I205" s="10">
        <v>0.14277808606452225</v>
      </c>
      <c r="J205" s="10">
        <v>1.9255983580122819E-2</v>
      </c>
      <c r="K205" s="10">
        <v>3.6360699394779906E-2</v>
      </c>
      <c r="L205" s="10">
        <v>0.6496795825626408</v>
      </c>
      <c r="M205" s="10">
        <v>0.67937580982260704</v>
      </c>
      <c r="N205" s="10">
        <v>0.63847965382545535</v>
      </c>
      <c r="O205" s="10">
        <v>0.69202549653937195</v>
      </c>
      <c r="P205" s="10">
        <v>0.66489013568751876</v>
      </c>
      <c r="Q205" s="10">
        <v>24.9196383158</v>
      </c>
      <c r="R205" s="10">
        <v>46.808027932800002</v>
      </c>
      <c r="S205" s="10">
        <v>38.147624259799997</v>
      </c>
      <c r="T205" s="10">
        <v>51.097095045899998</v>
      </c>
      <c r="U205" s="10">
        <v>59.827988824199998</v>
      </c>
      <c r="V205" s="10">
        <v>38.159402270599998</v>
      </c>
      <c r="W205" s="10">
        <v>28.086924710000002</v>
      </c>
      <c r="X205" s="10">
        <v>-26.081844010000001</v>
      </c>
    </row>
    <row r="206" spans="1:24" x14ac:dyDescent="0.45">
      <c r="A206">
        <v>79800110</v>
      </c>
      <c r="B206" t="s">
        <v>38</v>
      </c>
      <c r="D206">
        <v>1</v>
      </c>
      <c r="E206" s="10">
        <v>0.47700412886278626</v>
      </c>
      <c r="F206" s="10">
        <v>1.5256060450891316E-2</v>
      </c>
      <c r="G206" s="10">
        <v>0.67057533094265587</v>
      </c>
      <c r="H206" s="10">
        <v>0.12854386056167133</v>
      </c>
      <c r="I206" s="10">
        <v>0.52718032832765938</v>
      </c>
      <c r="J206" s="10">
        <v>1.436626982402653E-2</v>
      </c>
      <c r="K206" s="10">
        <v>9.6535455630842787E-2</v>
      </c>
      <c r="L206" s="10">
        <v>0.53458900430269374</v>
      </c>
      <c r="M206" s="10">
        <v>0.73496177328377321</v>
      </c>
      <c r="N206" s="10">
        <v>0.51029228860742815</v>
      </c>
      <c r="O206" s="10">
        <v>0.74650044173294938</v>
      </c>
      <c r="P206" s="10">
        <v>0.63158587698171109</v>
      </c>
      <c r="Q206" s="10">
        <v>24.055271421200001</v>
      </c>
      <c r="R206" s="10">
        <v>48.796180725100001</v>
      </c>
      <c r="S206" s="10">
        <v>37.277782440199999</v>
      </c>
      <c r="T206" s="10">
        <v>53.724433898900003</v>
      </c>
      <c r="U206" s="10">
        <v>65.323837280299998</v>
      </c>
      <c r="V206" s="10">
        <v>38.858673095699999</v>
      </c>
      <c r="W206" s="10">
        <v>28.141982649999999</v>
      </c>
      <c r="X206" s="10">
        <v>-26.021280040000001</v>
      </c>
    </row>
    <row r="207" spans="1:24" x14ac:dyDescent="0.45">
      <c r="A207">
        <v>79800111</v>
      </c>
      <c r="B207" t="s">
        <v>38</v>
      </c>
      <c r="D207">
        <v>1</v>
      </c>
      <c r="E207" s="10">
        <v>0.80844192815381577</v>
      </c>
      <c r="F207" s="10">
        <v>1.1143343331109877E-2</v>
      </c>
      <c r="G207" s="10">
        <v>0.66406866618148386</v>
      </c>
      <c r="H207" s="10">
        <v>1.9897840664649929E-4</v>
      </c>
      <c r="I207" s="10">
        <v>0.31956881635412826</v>
      </c>
      <c r="J207" s="10">
        <v>0.13943957186271105</v>
      </c>
      <c r="K207" s="10">
        <v>0.28791616047498386</v>
      </c>
      <c r="L207" s="10">
        <v>0.24706759754322916</v>
      </c>
      <c r="M207" s="10">
        <v>0.22513778661383729</v>
      </c>
      <c r="N207" s="10">
        <v>0.19130778674826093</v>
      </c>
      <c r="O207" s="10">
        <v>0.26469380146904858</v>
      </c>
      <c r="P207" s="10">
        <v>0.232051743093594</v>
      </c>
      <c r="Q207" s="10">
        <v>30.181242942800001</v>
      </c>
      <c r="R207" s="10">
        <v>48.438376426700003</v>
      </c>
      <c r="S207" s="10">
        <v>36.997183799699997</v>
      </c>
      <c r="T207" s="10">
        <v>53.108190774900002</v>
      </c>
      <c r="U207" s="10">
        <v>64.580041647000002</v>
      </c>
      <c r="V207" s="10">
        <v>39.0680918694</v>
      </c>
      <c r="W207" s="10">
        <v>28.184541020000001</v>
      </c>
      <c r="X207" s="10">
        <v>-25.995859840000001</v>
      </c>
    </row>
    <row r="208" spans="1:24" x14ac:dyDescent="0.45">
      <c r="A208">
        <v>79800112</v>
      </c>
      <c r="B208" t="s">
        <v>38</v>
      </c>
      <c r="D208">
        <v>1</v>
      </c>
      <c r="E208" s="10">
        <v>0.56253065376439459</v>
      </c>
      <c r="F208" s="10">
        <v>2.8164948983082361E-2</v>
      </c>
      <c r="G208" s="10">
        <v>0.59950184610601709</v>
      </c>
      <c r="H208" s="10">
        <v>9.9649766426406251E-3</v>
      </c>
      <c r="I208" s="10">
        <v>1.0476657779360143E-2</v>
      </c>
      <c r="J208" s="10">
        <v>7.7285227614007825E-3</v>
      </c>
      <c r="K208" s="10">
        <v>6.1128823142762828E-2</v>
      </c>
      <c r="L208" s="10">
        <v>0.73751380251313847</v>
      </c>
      <c r="M208" s="10">
        <v>0.86061961145434318</v>
      </c>
      <c r="N208" s="10">
        <v>0.67500440148028928</v>
      </c>
      <c r="O208" s="10">
        <v>0.8710017011904736</v>
      </c>
      <c r="P208" s="10">
        <v>0.78603487915956105</v>
      </c>
      <c r="Q208" s="10">
        <v>21.685573924700002</v>
      </c>
      <c r="R208" s="10">
        <v>48.7902584076</v>
      </c>
      <c r="S208" s="10">
        <v>37.497537612899997</v>
      </c>
      <c r="T208" s="10">
        <v>53.3551769257</v>
      </c>
      <c r="U208" s="10">
        <v>64.595909118700007</v>
      </c>
      <c r="V208" s="10">
        <v>39.7124061584</v>
      </c>
      <c r="W208" s="10">
        <v>28.084583049999999</v>
      </c>
      <c r="X208" s="10">
        <v>-25.962676600000002</v>
      </c>
    </row>
    <row r="209" spans="1:24" x14ac:dyDescent="0.45">
      <c r="A209">
        <v>79800113</v>
      </c>
      <c r="B209" t="s">
        <v>38</v>
      </c>
      <c r="D209">
        <v>1</v>
      </c>
      <c r="E209" s="10">
        <v>0.15094090101080679</v>
      </c>
      <c r="F209" s="10">
        <v>5.8562796053766304E-2</v>
      </c>
      <c r="G209" s="10">
        <v>0.46098989598486562</v>
      </c>
      <c r="H209" s="10">
        <v>6.0914296685696326E-2</v>
      </c>
      <c r="I209" s="10">
        <v>0.77821465802705203</v>
      </c>
      <c r="J209" s="10">
        <v>4.8744639406992203E-2</v>
      </c>
      <c r="K209" s="10">
        <v>4.7356404766371298E-2</v>
      </c>
      <c r="L209" s="10">
        <v>0.49755874419655499</v>
      </c>
      <c r="M209" s="10">
        <v>0.76795476917080374</v>
      </c>
      <c r="N209" s="10">
        <v>0.5158354045620076</v>
      </c>
      <c r="O209" s="10">
        <v>0.73749101085436064</v>
      </c>
      <c r="P209" s="10">
        <v>0.62970998219593177</v>
      </c>
      <c r="Q209" s="10">
        <v>25.518476963000001</v>
      </c>
      <c r="R209" s="10">
        <v>56.785313129400002</v>
      </c>
      <c r="S209" s="10">
        <v>45.401472515499997</v>
      </c>
      <c r="T209" s="10">
        <v>61.794823805500002</v>
      </c>
      <c r="U209" s="10">
        <v>72.492433759899995</v>
      </c>
      <c r="V209" s="10">
        <v>47.452524926899997</v>
      </c>
      <c r="W209" s="10">
        <v>28.0074972</v>
      </c>
      <c r="X209" s="10">
        <v>-25.939198770000001</v>
      </c>
    </row>
    <row r="210" spans="1:24" x14ac:dyDescent="0.45">
      <c r="A210">
        <v>79800114</v>
      </c>
      <c r="B210" t="s">
        <v>38</v>
      </c>
      <c r="D210">
        <v>1</v>
      </c>
      <c r="E210" s="10">
        <v>0.65410021188966361</v>
      </c>
      <c r="F210" s="10">
        <v>0.19317205210938479</v>
      </c>
      <c r="G210" s="10">
        <v>0.66183601485799259</v>
      </c>
      <c r="H210" s="10">
        <v>3.3206497423491597E-2</v>
      </c>
      <c r="I210" s="10">
        <v>0.4772643359004568</v>
      </c>
      <c r="J210" s="10">
        <v>2.5047023860411629E-2</v>
      </c>
      <c r="K210" s="10">
        <v>5.7937870062682882E-2</v>
      </c>
      <c r="L210" s="10">
        <v>0.82030132261917388</v>
      </c>
      <c r="M210" s="10">
        <v>0.87133421069376182</v>
      </c>
      <c r="N210" s="10">
        <v>0.71007123788741455</v>
      </c>
      <c r="O210" s="10">
        <v>0.89171753592000824</v>
      </c>
      <c r="P210" s="10">
        <v>0.82335607678008971</v>
      </c>
      <c r="Q210" s="10">
        <v>24.9835067749</v>
      </c>
      <c r="R210" s="10">
        <v>40.700587216499997</v>
      </c>
      <c r="S210" s="10">
        <v>33.676813153700003</v>
      </c>
      <c r="T210" s="10">
        <v>40.534504441700001</v>
      </c>
      <c r="U210" s="10">
        <v>50.6867439046</v>
      </c>
      <c r="V210" s="10">
        <v>37.904287394400001</v>
      </c>
      <c r="W210" s="10">
        <v>27.925597589999999</v>
      </c>
      <c r="X210" s="10">
        <v>-26.062294829999999</v>
      </c>
    </row>
    <row r="211" spans="1:24" x14ac:dyDescent="0.45">
      <c r="A211">
        <v>79800115</v>
      </c>
      <c r="B211" t="s">
        <v>38</v>
      </c>
      <c r="D211">
        <v>1</v>
      </c>
      <c r="E211" s="10">
        <v>0.87789009280320773</v>
      </c>
      <c r="F211" s="10">
        <v>4.0168376174700531E-2</v>
      </c>
      <c r="G211" s="10">
        <v>0.52409595322996394</v>
      </c>
      <c r="H211" s="10">
        <v>0.11710839850272245</v>
      </c>
      <c r="I211" s="10">
        <v>3.4686701323577811E-3</v>
      </c>
      <c r="J211" s="10">
        <v>2.0692574006059016E-2</v>
      </c>
      <c r="K211" s="10">
        <v>3.7562734093406741E-2</v>
      </c>
      <c r="L211" s="10">
        <v>0.77024300140120772</v>
      </c>
      <c r="M211" s="10">
        <v>0.74556391689501855</v>
      </c>
      <c r="N211" s="10">
        <v>0.75388873480651952</v>
      </c>
      <c r="O211" s="10">
        <v>0.75235570608473001</v>
      </c>
      <c r="P211" s="10">
        <v>0.7555128397968689</v>
      </c>
      <c r="Q211" s="10">
        <v>23.677755991600002</v>
      </c>
      <c r="R211" s="10">
        <v>46.2498722379</v>
      </c>
      <c r="S211" s="10">
        <v>37.733952113599997</v>
      </c>
      <c r="T211" s="10">
        <v>48.679429796000001</v>
      </c>
      <c r="U211" s="10">
        <v>58.867443326900002</v>
      </c>
      <c r="V211" s="10">
        <v>39.718661838099997</v>
      </c>
      <c r="W211" s="10">
        <v>27.984221569999999</v>
      </c>
      <c r="X211" s="10">
        <v>-26.038956639999999</v>
      </c>
    </row>
    <row r="212" spans="1:24" x14ac:dyDescent="0.45">
      <c r="A212">
        <v>79800116</v>
      </c>
      <c r="B212" t="s">
        <v>38</v>
      </c>
      <c r="D212">
        <v>1</v>
      </c>
      <c r="E212" s="10">
        <v>1</v>
      </c>
      <c r="F212" s="10">
        <v>6.7046017597400557E-3</v>
      </c>
      <c r="G212" s="10">
        <v>0.62167902395149333</v>
      </c>
      <c r="H212" s="10">
        <v>1.4838792673136014E-2</v>
      </c>
      <c r="I212" s="10">
        <v>0.2795827522976026</v>
      </c>
      <c r="J212" s="10">
        <v>0.37186985940970008</v>
      </c>
      <c r="K212" s="10">
        <v>7.7678196780551656E-2</v>
      </c>
      <c r="L212" s="10">
        <v>5.7504006103330729E-2</v>
      </c>
      <c r="M212" s="10">
        <v>0</v>
      </c>
      <c r="N212" s="10">
        <v>0</v>
      </c>
      <c r="O212" s="10">
        <v>2.6426298924941038E-2</v>
      </c>
      <c r="P212" s="10">
        <v>2.0982576257067943E-2</v>
      </c>
      <c r="Q212" s="10">
        <v>26.247583389300001</v>
      </c>
      <c r="R212" s="10">
        <v>46.255880355800002</v>
      </c>
      <c r="S212" s="10">
        <v>38.367866516100001</v>
      </c>
      <c r="T212" s="10">
        <v>50.416305542000003</v>
      </c>
      <c r="U212" s="10">
        <v>58.400381088300001</v>
      </c>
      <c r="V212" s="10">
        <v>37.838968276999999</v>
      </c>
      <c r="W212" s="10">
        <v>28.101195239999999</v>
      </c>
      <c r="X212" s="10">
        <v>-26.100997240000002</v>
      </c>
    </row>
    <row r="213" spans="1:24" x14ac:dyDescent="0.45">
      <c r="A213">
        <v>79800117</v>
      </c>
      <c r="B213" t="s">
        <v>38</v>
      </c>
      <c r="D213">
        <v>1</v>
      </c>
      <c r="E213" s="10">
        <v>0.70249707680086726</v>
      </c>
      <c r="F213" s="10">
        <v>6.785165322530233E-2</v>
      </c>
      <c r="G213" s="10">
        <v>0.76391039835925734</v>
      </c>
      <c r="H213" s="10">
        <v>0</v>
      </c>
      <c r="I213" s="10">
        <v>1.6749046684851627E-3</v>
      </c>
      <c r="J213" s="10">
        <v>1.3423012057310699E-2</v>
      </c>
      <c r="K213" s="10">
        <v>2.1038346763660683E-2</v>
      </c>
      <c r="L213" s="10">
        <v>0.84921256279319302</v>
      </c>
      <c r="M213" s="10">
        <v>0.85731367792586988</v>
      </c>
      <c r="N213" s="10">
        <v>0.92842028572529889</v>
      </c>
      <c r="O213" s="10">
        <v>0.84017333470166855</v>
      </c>
      <c r="P213" s="10">
        <v>0.86877996528650758</v>
      </c>
      <c r="Q213" s="10">
        <v>22.155511856099999</v>
      </c>
      <c r="R213" s="10">
        <v>39.8471264406</v>
      </c>
      <c r="S213" s="10">
        <v>33.402813217899997</v>
      </c>
      <c r="T213" s="10">
        <v>40.203606778900003</v>
      </c>
      <c r="U213" s="10">
        <v>49.834730148299997</v>
      </c>
      <c r="V213" s="10">
        <v>35.947357177699999</v>
      </c>
      <c r="W213" s="10">
        <v>28.02467532</v>
      </c>
      <c r="X213" s="10">
        <v>-26.1437068</v>
      </c>
    </row>
    <row r="214" spans="1:24" x14ac:dyDescent="0.45">
      <c r="A214">
        <v>79800118</v>
      </c>
      <c r="B214" t="s">
        <v>38</v>
      </c>
      <c r="D214">
        <v>1</v>
      </c>
      <c r="E214" s="10">
        <v>0.70861665977429555</v>
      </c>
      <c r="F214" s="10">
        <v>2.3378782717919259E-2</v>
      </c>
      <c r="G214" s="10">
        <v>0.8517172582241711</v>
      </c>
      <c r="H214" s="10">
        <v>0.10546706482674893</v>
      </c>
      <c r="I214" s="10">
        <v>7.1175260376288522E-3</v>
      </c>
      <c r="J214" s="10">
        <v>2.8034858200545219E-2</v>
      </c>
      <c r="K214" s="10">
        <v>1.651477980591564E-2</v>
      </c>
      <c r="L214" s="10">
        <v>0.67992102125492082</v>
      </c>
      <c r="M214" s="10">
        <v>0.73093650479665428</v>
      </c>
      <c r="N214" s="10">
        <v>0.70753767503916953</v>
      </c>
      <c r="O214" s="10">
        <v>0.73722959005955468</v>
      </c>
      <c r="P214" s="10">
        <v>0.7139061977875748</v>
      </c>
      <c r="Q214" s="10">
        <v>22.762548446699999</v>
      </c>
      <c r="R214" s="10">
        <v>46.201719601900002</v>
      </c>
      <c r="S214" s="10">
        <v>41.893425835499997</v>
      </c>
      <c r="T214" s="10">
        <v>46.184285905599999</v>
      </c>
      <c r="U214" s="10">
        <v>54.286113845000003</v>
      </c>
      <c r="V214" s="10">
        <v>42.4430543052</v>
      </c>
      <c r="W214" s="10">
        <v>28.105004130000001</v>
      </c>
      <c r="X214" s="10">
        <v>-26.18611606</v>
      </c>
    </row>
    <row r="215" spans="1:24" x14ac:dyDescent="0.45">
      <c r="A215">
        <v>79800119</v>
      </c>
      <c r="B215" t="s">
        <v>38</v>
      </c>
      <c r="D215">
        <v>1</v>
      </c>
      <c r="E215" s="10">
        <v>0.19480230118260147</v>
      </c>
      <c r="F215" s="10">
        <v>0.17983494356858948</v>
      </c>
      <c r="G215" s="10">
        <v>0.69429660450752029</v>
      </c>
      <c r="H215" s="10">
        <v>5.4506800876435703E-2</v>
      </c>
      <c r="I215" s="10">
        <v>0.33633333367770923</v>
      </c>
      <c r="J215" s="10">
        <v>2.2841380563630123E-2</v>
      </c>
      <c r="K215" s="10">
        <v>3.2965822651331543E-2</v>
      </c>
      <c r="L215" s="10">
        <v>0.48474317450293486</v>
      </c>
      <c r="M215" s="10">
        <v>1</v>
      </c>
      <c r="N215" s="10">
        <v>0.60327743836650272</v>
      </c>
      <c r="O215" s="10">
        <v>0.7651691749850702</v>
      </c>
      <c r="P215" s="10">
        <v>0.71329744696362696</v>
      </c>
      <c r="Q215" s="10">
        <v>31.627784252200001</v>
      </c>
      <c r="R215" s="10">
        <v>45.924244615799999</v>
      </c>
      <c r="S215" s="10">
        <v>39.1232242054</v>
      </c>
      <c r="T215" s="10">
        <v>45.889284716699997</v>
      </c>
      <c r="U215" s="10">
        <v>57.313353962400001</v>
      </c>
      <c r="V215" s="10">
        <v>41.371113406299997</v>
      </c>
      <c r="W215" s="10">
        <v>27.92054761</v>
      </c>
      <c r="X215" s="10">
        <v>-26.310364140000001</v>
      </c>
    </row>
    <row r="216" spans="1:24" x14ac:dyDescent="0.45">
      <c r="A216">
        <v>79800120</v>
      </c>
      <c r="B216" t="s">
        <v>38</v>
      </c>
      <c r="D216">
        <v>1</v>
      </c>
      <c r="E216" s="10">
        <v>0.32849487282718165</v>
      </c>
      <c r="F216" s="10">
        <v>3.7119446752138241E-2</v>
      </c>
      <c r="G216" s="10">
        <v>0.79855054195239938</v>
      </c>
      <c r="H216" s="10">
        <v>1.4471896933837138E-2</v>
      </c>
      <c r="I216" s="10">
        <v>0.218988842278137</v>
      </c>
      <c r="J216" s="10">
        <v>1.4950642672738637E-2</v>
      </c>
      <c r="K216" s="10">
        <v>5.4741343484819939E-2</v>
      </c>
      <c r="L216" s="10">
        <v>0.42060905730795795</v>
      </c>
      <c r="M216" s="10">
        <v>0.58131100607770259</v>
      </c>
      <c r="N216" s="10">
        <v>0.40538194573138997</v>
      </c>
      <c r="O216" s="10">
        <v>0.65105477082205554</v>
      </c>
      <c r="P216" s="10">
        <v>0.51458919498477651</v>
      </c>
      <c r="Q216" s="10">
        <v>22.632932662999998</v>
      </c>
      <c r="R216" s="10">
        <v>42.746829986599998</v>
      </c>
      <c r="S216" s="10">
        <v>38.032001495400003</v>
      </c>
      <c r="T216" s="10">
        <v>44.091693878199997</v>
      </c>
      <c r="U216" s="10">
        <v>51.228317260700003</v>
      </c>
      <c r="V216" s="10">
        <v>37.635307312000002</v>
      </c>
      <c r="W216" s="10">
        <v>27.865593910000001</v>
      </c>
      <c r="X216" s="10">
        <v>-26.384223710000001</v>
      </c>
    </row>
    <row r="217" spans="1:24" x14ac:dyDescent="0.45">
      <c r="A217">
        <v>79800123</v>
      </c>
      <c r="B217" t="s">
        <v>38</v>
      </c>
      <c r="D217">
        <v>1</v>
      </c>
      <c r="E217" s="10">
        <v>0.68511730750333344</v>
      </c>
      <c r="F217" s="10">
        <v>1.0083365708877994E-3</v>
      </c>
      <c r="G217" s="10">
        <v>0.92467397760501491</v>
      </c>
      <c r="H217" s="10">
        <v>0.39514891362532589</v>
      </c>
      <c r="I217" s="10">
        <v>6.3203311073604116E-3</v>
      </c>
      <c r="J217" s="10">
        <v>0.19124869037944928</v>
      </c>
      <c r="K217" s="10">
        <v>4.5799952594646077E-3</v>
      </c>
      <c r="L217" s="10">
        <v>0.2264924335530705</v>
      </c>
      <c r="M217" s="10">
        <v>0.24163365331041262</v>
      </c>
      <c r="N217" s="10">
        <v>0.28246799792518912</v>
      </c>
      <c r="O217" s="10">
        <v>0.21815616654025377</v>
      </c>
      <c r="P217" s="10">
        <v>0.24218756283223153</v>
      </c>
      <c r="Q217" s="10">
        <v>23.459638807499999</v>
      </c>
      <c r="R217" s="10">
        <v>44.036680857299999</v>
      </c>
      <c r="S217" s="10">
        <v>40.049852159300002</v>
      </c>
      <c r="T217" s="10">
        <v>41.828475528299997</v>
      </c>
      <c r="U217" s="10">
        <v>51.755276574</v>
      </c>
      <c r="V217" s="10">
        <v>42.513119591600002</v>
      </c>
      <c r="W217" s="10">
        <v>28.056954000000001</v>
      </c>
      <c r="X217" s="10">
        <v>-26.196507879999999</v>
      </c>
    </row>
    <row r="218" spans="1:24" x14ac:dyDescent="0.45">
      <c r="A218">
        <v>79800124</v>
      </c>
      <c r="B218" t="s">
        <v>38</v>
      </c>
      <c r="D218">
        <v>1</v>
      </c>
      <c r="E218" s="10">
        <v>0.55476308919317763</v>
      </c>
      <c r="F218" s="10">
        <v>1.2659280702256803E-2</v>
      </c>
      <c r="G218" s="10">
        <v>0.91139237627676761</v>
      </c>
      <c r="H218" s="10">
        <v>0.6865996262773002</v>
      </c>
      <c r="I218" s="10">
        <v>1.3316193164532284E-2</v>
      </c>
      <c r="J218" s="10">
        <v>2.1176572550701794E-2</v>
      </c>
      <c r="K218" s="10">
        <v>1.8757200473047044E-2</v>
      </c>
      <c r="L218" s="10">
        <v>0.30405394578299177</v>
      </c>
      <c r="M218" s="10">
        <v>0.29320398527045771</v>
      </c>
      <c r="N218" s="10">
        <v>0.25631483558213658</v>
      </c>
      <c r="O218" s="10">
        <v>0.34463952197656911</v>
      </c>
      <c r="P218" s="10">
        <v>0.29955307215303884</v>
      </c>
      <c r="Q218" s="10">
        <v>28.436364173899999</v>
      </c>
      <c r="R218" s="10">
        <v>44.664928436300002</v>
      </c>
      <c r="S218" s="10">
        <v>41.604087829599997</v>
      </c>
      <c r="T218" s="10">
        <v>40.240135192899999</v>
      </c>
      <c r="U218" s="10">
        <v>51.663913726799997</v>
      </c>
      <c r="V218" s="10">
        <v>45.1515731812</v>
      </c>
      <c r="W218" s="10">
        <v>28.03476697</v>
      </c>
      <c r="X218" s="10">
        <v>-26.22638229</v>
      </c>
    </row>
    <row r="219" spans="1:24" x14ac:dyDescent="0.45">
      <c r="A219">
        <v>79800125</v>
      </c>
      <c r="B219" t="s">
        <v>38</v>
      </c>
      <c r="D219">
        <v>1</v>
      </c>
      <c r="E219" s="10">
        <v>0.20409686191948634</v>
      </c>
      <c r="F219" s="10">
        <v>2.2851082820215269E-2</v>
      </c>
      <c r="G219" s="10">
        <v>0.84519060621216202</v>
      </c>
      <c r="H219" s="10">
        <v>8.8127466571713123E-2</v>
      </c>
      <c r="I219" s="10">
        <v>6.8056901853332701E-3</v>
      </c>
      <c r="J219" s="10">
        <v>9.7393923152522387E-3</v>
      </c>
      <c r="K219" s="10">
        <v>3.4183901513031349E-2</v>
      </c>
      <c r="L219" s="10">
        <v>0.5400232313858554</v>
      </c>
      <c r="M219" s="10">
        <v>0.68272760343825323</v>
      </c>
      <c r="N219" s="10">
        <v>0.47930638868700448</v>
      </c>
      <c r="O219" s="10">
        <v>0.75762587443708496</v>
      </c>
      <c r="P219" s="10">
        <v>0.61492077448704952</v>
      </c>
      <c r="Q219" s="10">
        <v>23.036497327999999</v>
      </c>
      <c r="R219" s="10">
        <v>47.900550842299999</v>
      </c>
      <c r="S219" s="10">
        <v>39.875106811499997</v>
      </c>
      <c r="T219" s="10">
        <v>46.389965057399998</v>
      </c>
      <c r="U219" s="10">
        <v>61.062068939200003</v>
      </c>
      <c r="V219" s="10">
        <v>44.2750663757</v>
      </c>
      <c r="W219" s="10">
        <v>27.980180180000001</v>
      </c>
      <c r="X219" s="10">
        <v>-26.278830320000001</v>
      </c>
    </row>
    <row r="220" spans="1:24" x14ac:dyDescent="0.45">
      <c r="A220">
        <v>79800126</v>
      </c>
      <c r="B220" t="s">
        <v>38</v>
      </c>
      <c r="D220">
        <v>1</v>
      </c>
      <c r="E220" s="10">
        <v>0.83709837990144631</v>
      </c>
      <c r="F220" s="10">
        <v>3.9313252858188062E-2</v>
      </c>
      <c r="G220" s="10">
        <v>0.73029686607326227</v>
      </c>
      <c r="H220" s="10">
        <v>4.7015847412033972E-3</v>
      </c>
      <c r="I220" s="10">
        <v>5.4782375607875817E-3</v>
      </c>
      <c r="J220" s="10">
        <v>2.086683403209106E-2</v>
      </c>
      <c r="K220" s="10">
        <v>2.8715845183968511E-2</v>
      </c>
      <c r="L220" s="10">
        <v>0.81938342683084964</v>
      </c>
      <c r="M220" s="10">
        <v>0.70268153131468258</v>
      </c>
      <c r="N220" s="10">
        <v>0.75739605233471352</v>
      </c>
      <c r="O220" s="10">
        <v>0.80530336193612817</v>
      </c>
      <c r="P220" s="10">
        <v>0.77119109310409339</v>
      </c>
      <c r="Q220" s="10">
        <v>21.1647586823</v>
      </c>
      <c r="R220" s="10">
        <v>36.819525941899997</v>
      </c>
      <c r="S220" s="10">
        <v>30.7872148067</v>
      </c>
      <c r="T220" s="10">
        <v>35.454831874100002</v>
      </c>
      <c r="U220" s="10">
        <v>46.484484489899998</v>
      </c>
      <c r="V220" s="10">
        <v>34.551575194000002</v>
      </c>
      <c r="W220" s="10">
        <v>27.933056959999998</v>
      </c>
      <c r="X220" s="10">
        <v>-26.111323410000001</v>
      </c>
    </row>
    <row r="221" spans="1:24" x14ac:dyDescent="0.45">
      <c r="A221">
        <v>79800127</v>
      </c>
      <c r="B221" t="s">
        <v>38</v>
      </c>
      <c r="D221">
        <v>1</v>
      </c>
      <c r="E221" s="10">
        <v>0</v>
      </c>
      <c r="F221" s="10">
        <v>0.40793041023783044</v>
      </c>
      <c r="G221" s="10">
        <v>0.89786834164546259</v>
      </c>
      <c r="H221" s="10">
        <v>2.0201295776789911E-2</v>
      </c>
      <c r="I221" s="10">
        <v>0.72843729963735293</v>
      </c>
      <c r="J221" s="10">
        <v>1.5669909525547608E-2</v>
      </c>
      <c r="K221" s="10">
        <v>3.9889534200487721E-2</v>
      </c>
      <c r="L221" s="10">
        <v>0.51866669709686464</v>
      </c>
      <c r="M221" s="10">
        <v>0.66625764931949139</v>
      </c>
      <c r="N221" s="10">
        <v>0.46855513046869185</v>
      </c>
      <c r="O221" s="10">
        <v>0.694279702476579</v>
      </c>
      <c r="P221" s="10">
        <v>0.5869397948404067</v>
      </c>
      <c r="Q221" s="10">
        <v>29.919955253600001</v>
      </c>
      <c r="R221" s="10">
        <v>39.911661374399998</v>
      </c>
      <c r="S221" s="10">
        <v>39.827087661</v>
      </c>
      <c r="T221" s="10">
        <v>30.570548817300001</v>
      </c>
      <c r="U221" s="10">
        <v>44.840920529100003</v>
      </c>
      <c r="V221" s="10">
        <v>44.408083317600003</v>
      </c>
      <c r="W221" s="10">
        <v>27.850871089999998</v>
      </c>
      <c r="X221" s="10">
        <v>-26.174462800000001</v>
      </c>
    </row>
    <row r="222" spans="1:24" x14ac:dyDescent="0.45">
      <c r="A222">
        <v>79800128</v>
      </c>
      <c r="B222" t="s">
        <v>38</v>
      </c>
      <c r="D222">
        <v>1</v>
      </c>
      <c r="E222" s="10">
        <v>0.54113295253857463</v>
      </c>
      <c r="F222" s="10">
        <v>8.0846437360565765E-2</v>
      </c>
      <c r="G222" s="10">
        <v>0.83720997153938048</v>
      </c>
      <c r="H222" s="10">
        <v>2.3794811966114694E-2</v>
      </c>
      <c r="I222" s="10">
        <v>0.39254273464084</v>
      </c>
      <c r="J222" s="10">
        <v>6.4175182931834232E-2</v>
      </c>
      <c r="K222" s="10">
        <v>5.638097491267241E-2</v>
      </c>
      <c r="L222" s="10">
        <v>0.39869478726881441</v>
      </c>
      <c r="M222" s="10">
        <v>0.64305706183954581</v>
      </c>
      <c r="N222" s="10">
        <v>0.45621721591870606</v>
      </c>
      <c r="O222" s="10">
        <v>0.61093924666483879</v>
      </c>
      <c r="P222" s="10">
        <v>0.52722707792297629</v>
      </c>
      <c r="Q222" s="10">
        <v>27.936671257</v>
      </c>
      <c r="R222" s="10">
        <v>37.374749214399998</v>
      </c>
      <c r="S222" s="10">
        <v>36.362053778899998</v>
      </c>
      <c r="T222" s="10">
        <v>30.337134207399998</v>
      </c>
      <c r="U222" s="10">
        <v>41.769569150899997</v>
      </c>
      <c r="V222" s="10">
        <v>41.030238613000002</v>
      </c>
      <c r="W222" s="10">
        <v>27.80215883</v>
      </c>
      <c r="X222" s="10">
        <v>-26.193685349999999</v>
      </c>
    </row>
    <row r="223" spans="1:24" x14ac:dyDescent="0.45">
      <c r="A223">
        <v>79800129</v>
      </c>
      <c r="B223" t="s">
        <v>38</v>
      </c>
      <c r="D223">
        <v>1</v>
      </c>
      <c r="E223" s="10">
        <v>0.53961914971770597</v>
      </c>
      <c r="F223" s="10">
        <v>1.4411249413286666E-2</v>
      </c>
      <c r="G223" s="10">
        <v>0.78620788540483877</v>
      </c>
      <c r="H223" s="10">
        <v>0</v>
      </c>
      <c r="I223" s="10">
        <v>0.42700812754865863</v>
      </c>
      <c r="J223" s="10">
        <v>7.7400145554405608E-2</v>
      </c>
      <c r="K223" s="10">
        <v>0.1754817645401909</v>
      </c>
      <c r="L223" s="10">
        <v>0.35209945579795288</v>
      </c>
      <c r="M223" s="10">
        <v>0.57831351809658393</v>
      </c>
      <c r="N223" s="10">
        <v>0.41584964870854541</v>
      </c>
      <c r="O223" s="10">
        <v>0.54213590133971323</v>
      </c>
      <c r="P223" s="10">
        <v>0.47209963098569885</v>
      </c>
      <c r="Q223" s="10">
        <v>30.254824447600001</v>
      </c>
      <c r="R223" s="10">
        <v>39.116245651200003</v>
      </c>
      <c r="S223" s="10">
        <v>37.195579910299998</v>
      </c>
      <c r="T223" s="10">
        <v>34.4099952698</v>
      </c>
      <c r="U223" s="10">
        <v>47.1595632553</v>
      </c>
      <c r="V223" s="10">
        <v>37.699839782700003</v>
      </c>
      <c r="W223" s="10">
        <v>27.834132369999999</v>
      </c>
      <c r="X223" s="10">
        <v>-26.22400618</v>
      </c>
    </row>
    <row r="224" spans="1:24" x14ac:dyDescent="0.45">
      <c r="A224">
        <v>79800130</v>
      </c>
      <c r="B224" t="s">
        <v>38</v>
      </c>
      <c r="D224">
        <v>1</v>
      </c>
      <c r="E224" s="10">
        <v>0.86933614317027741</v>
      </c>
      <c r="F224" s="10">
        <v>1.1301447651341936E-2</v>
      </c>
      <c r="G224" s="10">
        <v>0.74973556349412152</v>
      </c>
      <c r="H224" s="10">
        <v>0</v>
      </c>
      <c r="I224" s="10">
        <v>0.12573491519947669</v>
      </c>
      <c r="J224" s="10">
        <v>0.13501537482520101</v>
      </c>
      <c r="K224" s="10">
        <v>7.6938585406489832E-2</v>
      </c>
      <c r="L224" s="10">
        <v>0.24952262988506549</v>
      </c>
      <c r="M224" s="10">
        <v>0.36650071903758069</v>
      </c>
      <c r="N224" s="10">
        <v>0.25613653473261816</v>
      </c>
      <c r="O224" s="10">
        <v>0.32966018343649017</v>
      </c>
      <c r="P224" s="10">
        <v>0.30045501677293862</v>
      </c>
      <c r="Q224" s="10">
        <v>25.903263092</v>
      </c>
      <c r="R224" s="10">
        <v>38.997563679999999</v>
      </c>
      <c r="S224" s="10">
        <v>37.157939910899998</v>
      </c>
      <c r="T224" s="10">
        <v>35.717004776000003</v>
      </c>
      <c r="U224" s="10">
        <v>46.254335403399999</v>
      </c>
      <c r="V224" s="10">
        <v>36.8609720866</v>
      </c>
      <c r="W224" s="10">
        <v>27.81721988</v>
      </c>
      <c r="X224" s="10">
        <v>-26.248167290000001</v>
      </c>
    </row>
    <row r="225" spans="1:24" x14ac:dyDescent="0.45">
      <c r="A225">
        <v>79900001</v>
      </c>
      <c r="B225" t="s">
        <v>29</v>
      </c>
      <c r="D225">
        <v>1</v>
      </c>
      <c r="E225" s="10">
        <v>0.48661779231514418</v>
      </c>
      <c r="F225" s="10">
        <v>1.4136907762211713E-2</v>
      </c>
      <c r="G225" s="10">
        <v>0.27380296509110036</v>
      </c>
      <c r="H225" s="10">
        <v>0.17497086505397924</v>
      </c>
      <c r="I225" s="10">
        <v>1.6905891633078169E-2</v>
      </c>
      <c r="J225" s="10">
        <v>1.2665544285313137E-2</v>
      </c>
      <c r="K225" s="10">
        <v>2.3336697938345093E-2</v>
      </c>
      <c r="L225" s="10">
        <v>0.58076394914085983</v>
      </c>
      <c r="M225" s="10">
        <v>0.73680853275251001</v>
      </c>
      <c r="N225" s="10">
        <v>0.59718680181188366</v>
      </c>
      <c r="O225" s="10">
        <v>0.71567149227960314</v>
      </c>
      <c r="P225" s="10">
        <v>0.65760769399621422</v>
      </c>
      <c r="Q225" s="10">
        <v>34.057127634700002</v>
      </c>
      <c r="R225" s="10">
        <v>64.904895901700002</v>
      </c>
      <c r="S225" s="10">
        <v>48.914897739899999</v>
      </c>
      <c r="T225" s="10">
        <v>66.900953412099994</v>
      </c>
      <c r="U225" s="10">
        <v>88.919850587799999</v>
      </c>
      <c r="V225" s="10">
        <v>54.8838893175</v>
      </c>
      <c r="W225" s="10">
        <v>28.167107309999999</v>
      </c>
      <c r="X225" s="10">
        <v>-25.711541329999999</v>
      </c>
    </row>
    <row r="226" spans="1:24" x14ac:dyDescent="0.45">
      <c r="A226">
        <v>79900002</v>
      </c>
      <c r="B226" t="s">
        <v>29</v>
      </c>
      <c r="D226">
        <v>1</v>
      </c>
      <c r="E226" s="10">
        <v>0.54832611681424348</v>
      </c>
      <c r="F226" s="10">
        <v>2.7136004217727897E-2</v>
      </c>
      <c r="G226" s="10">
        <v>0.30253263482901449</v>
      </c>
      <c r="H226" s="10">
        <v>1.8972580092865385E-2</v>
      </c>
      <c r="I226" s="10">
        <v>1.722432571203756E-2</v>
      </c>
      <c r="J226" s="10">
        <v>1.4478535577931776E-2</v>
      </c>
      <c r="K226" s="10">
        <v>3.6092497218318934E-2</v>
      </c>
      <c r="L226" s="10">
        <v>0.76996329260826901</v>
      </c>
      <c r="M226" s="10">
        <v>0.76655488759608492</v>
      </c>
      <c r="N226" s="10">
        <v>0.68158468260210736</v>
      </c>
      <c r="O226" s="10">
        <v>0.80101110157575239</v>
      </c>
      <c r="P226" s="10">
        <v>0.75477849109555351</v>
      </c>
      <c r="Q226" s="10">
        <v>30.662604014100001</v>
      </c>
      <c r="R226" s="10">
        <v>68.4530154383</v>
      </c>
      <c r="S226" s="10">
        <v>50.408213060999998</v>
      </c>
      <c r="T226" s="10">
        <v>71.255637412799999</v>
      </c>
      <c r="U226" s="10">
        <v>95.488890359600006</v>
      </c>
      <c r="V226" s="10">
        <v>56.659327130000001</v>
      </c>
      <c r="W226" s="10">
        <v>28.164811929999999</v>
      </c>
      <c r="X226" s="10">
        <v>-25.679960449999999</v>
      </c>
    </row>
    <row r="227" spans="1:24" x14ac:dyDescent="0.45">
      <c r="A227">
        <v>79900003</v>
      </c>
      <c r="B227" t="s">
        <v>29</v>
      </c>
      <c r="D227">
        <v>1</v>
      </c>
      <c r="E227" s="10">
        <v>0.3000929017335453</v>
      </c>
      <c r="F227" s="10">
        <v>9.289007704586948E-3</v>
      </c>
      <c r="G227" s="10">
        <v>0.42986525157383493</v>
      </c>
      <c r="H227" s="10">
        <v>0.20412459132068905</v>
      </c>
      <c r="I227" s="10">
        <v>7.8924113573534214E-3</v>
      </c>
      <c r="J227" s="10">
        <v>1.2321519970562477E-2</v>
      </c>
      <c r="K227" s="10">
        <v>4.233434174296221E-2</v>
      </c>
      <c r="L227" s="10">
        <v>0.51403647876907732</v>
      </c>
      <c r="M227" s="10">
        <v>0.53609678166597274</v>
      </c>
      <c r="N227" s="10">
        <v>0.47042118949282474</v>
      </c>
      <c r="O227" s="10">
        <v>0.73374151384982444</v>
      </c>
      <c r="P227" s="10">
        <v>0.56357399094442484</v>
      </c>
      <c r="Q227" s="10">
        <v>33.338568115199998</v>
      </c>
      <c r="R227" s="10">
        <v>55.524734497099999</v>
      </c>
      <c r="S227" s="10">
        <v>42.316951751700003</v>
      </c>
      <c r="T227" s="10">
        <v>56.750057220499997</v>
      </c>
      <c r="U227" s="10">
        <v>75.263687133800005</v>
      </c>
      <c r="V227" s="10">
        <v>47.768245696999998</v>
      </c>
      <c r="W227" s="10">
        <v>28.123171070000001</v>
      </c>
      <c r="X227" s="10">
        <v>-25.76189037</v>
      </c>
    </row>
    <row r="228" spans="1:24" x14ac:dyDescent="0.45">
      <c r="A228">
        <v>79900005</v>
      </c>
      <c r="B228" t="s">
        <v>29</v>
      </c>
      <c r="D228">
        <v>1</v>
      </c>
      <c r="E228" s="10">
        <v>0.75189111550910792</v>
      </c>
      <c r="F228" s="10">
        <v>1.7939906900854168E-2</v>
      </c>
      <c r="G228" s="10">
        <v>0.27945566295197449</v>
      </c>
      <c r="H228" s="10">
        <v>1.0293787251735591E-3</v>
      </c>
      <c r="I228" s="10">
        <v>1.102932477134457E-2</v>
      </c>
      <c r="J228" s="10">
        <v>1.2768222054213553E-2</v>
      </c>
      <c r="K228" s="10">
        <v>5.7595726240072795E-2</v>
      </c>
      <c r="L228" s="10">
        <v>0.75387935501285175</v>
      </c>
      <c r="M228" s="10">
        <v>0.75100633520337645</v>
      </c>
      <c r="N228" s="10">
        <v>0.66086287658532539</v>
      </c>
      <c r="O228" s="10">
        <v>0.74855380641722313</v>
      </c>
      <c r="P228" s="10">
        <v>0.72857559330469412</v>
      </c>
      <c r="Q228" s="10">
        <v>21.8569598198</v>
      </c>
      <c r="R228" s="10">
        <v>54.075161839899998</v>
      </c>
      <c r="S228" s="10">
        <v>37.130168646199998</v>
      </c>
      <c r="T228" s="10">
        <v>55.173160982799999</v>
      </c>
      <c r="U228" s="10">
        <v>79.3755152528</v>
      </c>
      <c r="V228" s="10">
        <v>44.6218047881</v>
      </c>
      <c r="W228" s="10">
        <v>28.248542239999999</v>
      </c>
      <c r="X228" s="10">
        <v>-25.67624897</v>
      </c>
    </row>
    <row r="229" spans="1:24" x14ac:dyDescent="0.45">
      <c r="A229">
        <v>79900006</v>
      </c>
      <c r="B229" t="s">
        <v>29</v>
      </c>
      <c r="D229">
        <v>1</v>
      </c>
      <c r="E229" s="10">
        <v>0.80158986803117127</v>
      </c>
      <c r="F229" s="10">
        <v>2.7098708016467729E-2</v>
      </c>
      <c r="G229" s="10">
        <v>0.30768422465391604</v>
      </c>
      <c r="H229" s="10">
        <v>0</v>
      </c>
      <c r="I229" s="10">
        <v>0.32798181685472355</v>
      </c>
      <c r="J229" s="10">
        <v>9.6709920587942852E-2</v>
      </c>
      <c r="K229" s="10">
        <v>0.22671477779020954</v>
      </c>
      <c r="L229" s="10">
        <v>0.3080633924403427</v>
      </c>
      <c r="M229" s="10">
        <v>0.32250360101070069</v>
      </c>
      <c r="N229" s="10">
        <v>0.2780723028848841</v>
      </c>
      <c r="O229" s="10">
        <v>0.33312336673588466</v>
      </c>
      <c r="P229" s="10">
        <v>0.31044066576795304</v>
      </c>
      <c r="Q229" s="10">
        <v>20.646049499499998</v>
      </c>
      <c r="R229" s="10">
        <v>44.113731384300003</v>
      </c>
      <c r="S229" s="10">
        <v>30.0648815632</v>
      </c>
      <c r="T229" s="10">
        <v>43.550610542299999</v>
      </c>
      <c r="U229" s="10">
        <v>66.902192115800005</v>
      </c>
      <c r="V229" s="10">
        <v>35.937233924899999</v>
      </c>
      <c r="W229" s="10">
        <v>28.351735699999999</v>
      </c>
      <c r="X229" s="10">
        <v>-25.709127339999998</v>
      </c>
    </row>
    <row r="230" spans="1:24" x14ac:dyDescent="0.45">
      <c r="A230">
        <v>79900008</v>
      </c>
      <c r="B230" t="s">
        <v>29</v>
      </c>
      <c r="D230">
        <v>1</v>
      </c>
      <c r="E230" s="10">
        <v>0.69742375051915595</v>
      </c>
      <c r="F230" s="10">
        <v>0.11541627286878066</v>
      </c>
      <c r="G230" s="10">
        <v>5.3372428926269602E-2</v>
      </c>
      <c r="H230" s="10">
        <v>5.1532353450732071E-4</v>
      </c>
      <c r="I230" s="10">
        <v>0.11636361523250394</v>
      </c>
      <c r="J230" s="10">
        <v>1.2746674032435141E-2</v>
      </c>
      <c r="K230" s="10">
        <v>0.49963613239049176</v>
      </c>
      <c r="L230" s="10">
        <v>0.57328563348378603</v>
      </c>
      <c r="M230" s="10">
        <v>0.6408454400293857</v>
      </c>
      <c r="N230" s="10">
        <v>0.4771424846381358</v>
      </c>
      <c r="O230" s="10">
        <v>0.57781846440797169</v>
      </c>
      <c r="P230" s="10">
        <v>0.56727300563981975</v>
      </c>
      <c r="Q230" s="10">
        <v>20.675442695600001</v>
      </c>
      <c r="R230" s="10">
        <v>34.575817108199999</v>
      </c>
      <c r="S230" s="10">
        <v>21.754611968999999</v>
      </c>
      <c r="T230" s="10">
        <v>35.2601127625</v>
      </c>
      <c r="U230" s="10">
        <v>54.103122711200001</v>
      </c>
      <c r="V230" s="10">
        <v>27.185419082599999</v>
      </c>
      <c r="W230" s="10">
        <v>28.215489560000002</v>
      </c>
      <c r="X230" s="10">
        <v>-25.390094489999999</v>
      </c>
    </row>
    <row r="231" spans="1:24" x14ac:dyDescent="0.45">
      <c r="A231">
        <v>79900009</v>
      </c>
      <c r="B231" t="s">
        <v>29</v>
      </c>
      <c r="D231">
        <v>1</v>
      </c>
      <c r="E231" s="10">
        <v>0.83014113253229471</v>
      </c>
      <c r="F231" s="10">
        <v>0.12695958634935503</v>
      </c>
      <c r="G231" s="10">
        <v>0.1671648431189405</v>
      </c>
      <c r="H231" s="10">
        <v>4.3566965466443504E-4</v>
      </c>
      <c r="I231" s="10">
        <v>3.1859082469221658E-2</v>
      </c>
      <c r="J231" s="10">
        <v>4.661281419409017E-2</v>
      </c>
      <c r="K231" s="10">
        <v>0.35263275721454512</v>
      </c>
      <c r="L231" s="10">
        <v>0.49041993396269723</v>
      </c>
      <c r="M231" s="10">
        <v>0.52535252117932096</v>
      </c>
      <c r="N231" s="10">
        <v>0.45957482041759495</v>
      </c>
      <c r="O231" s="10">
        <v>0.51898657491244327</v>
      </c>
      <c r="P231" s="10">
        <v>0.49858346261801412</v>
      </c>
      <c r="Q231" s="10">
        <v>23.17237854</v>
      </c>
      <c r="R231" s="10">
        <v>37.810478210399999</v>
      </c>
      <c r="S231" s="10">
        <v>24.892866134599998</v>
      </c>
      <c r="T231" s="10">
        <v>39.656421661400003</v>
      </c>
      <c r="U231" s="10">
        <v>58.124382019000002</v>
      </c>
      <c r="V231" s="10">
        <v>28.568250656099998</v>
      </c>
      <c r="W231" s="10">
        <v>28.07086576</v>
      </c>
      <c r="X231" s="10">
        <v>-25.475165239999999</v>
      </c>
    </row>
    <row r="232" spans="1:24" x14ac:dyDescent="0.45">
      <c r="A232">
        <v>79900010</v>
      </c>
      <c r="B232" t="s">
        <v>29</v>
      </c>
      <c r="D232">
        <v>1</v>
      </c>
      <c r="E232" s="10">
        <v>0.7814204038828354</v>
      </c>
      <c r="F232" s="10">
        <v>0.28526990623122062</v>
      </c>
      <c r="G232" s="10">
        <v>0.38842734685126495</v>
      </c>
      <c r="H232" s="10">
        <v>0</v>
      </c>
      <c r="I232" s="10">
        <v>0.4176497320952518</v>
      </c>
      <c r="J232" s="10">
        <v>8.3161352234850244E-2</v>
      </c>
      <c r="K232" s="10">
        <v>0.27141806834766885</v>
      </c>
      <c r="L232" s="10">
        <v>0.48647225910547004</v>
      </c>
      <c r="M232" s="10">
        <v>0.57039309463778964</v>
      </c>
      <c r="N232" s="10">
        <v>0.48303337431360222</v>
      </c>
      <c r="O232" s="10">
        <v>0.6381609816226308</v>
      </c>
      <c r="P232" s="10">
        <v>0.54451492741987317</v>
      </c>
      <c r="Q232" s="10">
        <v>25.3054924011</v>
      </c>
      <c r="R232" s="10">
        <v>44.455400848399997</v>
      </c>
      <c r="S232" s="10">
        <v>29.674536609600001</v>
      </c>
      <c r="T232" s="10">
        <v>42.878450775099999</v>
      </c>
      <c r="U232" s="10">
        <v>69.000742340100004</v>
      </c>
      <c r="V232" s="10">
        <v>36.267880058300001</v>
      </c>
      <c r="W232" s="10">
        <v>28.435186609999999</v>
      </c>
      <c r="X232" s="10">
        <v>-25.724887429999999</v>
      </c>
    </row>
    <row r="233" spans="1:24" x14ac:dyDescent="0.45">
      <c r="A233">
        <v>79900011</v>
      </c>
      <c r="B233" t="s">
        <v>29</v>
      </c>
      <c r="D233">
        <v>1</v>
      </c>
      <c r="E233" s="10">
        <v>0.8062569476426954</v>
      </c>
      <c r="F233" s="10">
        <v>4.6094788258839246E-2</v>
      </c>
      <c r="G233" s="10">
        <v>0.11745178211374267</v>
      </c>
      <c r="H233" s="10">
        <v>1.8242218554301634E-4</v>
      </c>
      <c r="I233" s="10">
        <v>6.4406510665995731E-2</v>
      </c>
      <c r="J233" s="10">
        <v>5.0721644164466152E-2</v>
      </c>
      <c r="K233" s="10">
        <v>0.51312690015957818</v>
      </c>
      <c r="L233" s="10">
        <v>0.34835162093875532</v>
      </c>
      <c r="M233" s="10">
        <v>0.36368570055490373</v>
      </c>
      <c r="N233" s="10">
        <v>0.30341530453032378</v>
      </c>
      <c r="O233" s="10">
        <v>0.35011734985845439</v>
      </c>
      <c r="P233" s="10">
        <v>0.34139249397060933</v>
      </c>
      <c r="Q233" s="10">
        <v>22.188258171099999</v>
      </c>
      <c r="R233" s="10">
        <v>37.127896477199997</v>
      </c>
      <c r="S233" s="10">
        <v>24.537922242099999</v>
      </c>
      <c r="T233" s="10">
        <v>39.1198297388</v>
      </c>
      <c r="U233" s="10">
        <v>56.844621097299999</v>
      </c>
      <c r="V233" s="10">
        <v>28.009219113499999</v>
      </c>
      <c r="W233" s="10">
        <v>28.08415699</v>
      </c>
      <c r="X233" s="10">
        <v>-25.45346163</v>
      </c>
    </row>
    <row r="234" spans="1:24" x14ac:dyDescent="0.45">
      <c r="A234">
        <v>79900012</v>
      </c>
      <c r="B234" t="s">
        <v>29</v>
      </c>
      <c r="D234">
        <v>1</v>
      </c>
      <c r="E234" s="10">
        <v>0.63085404147207857</v>
      </c>
      <c r="F234" s="10">
        <v>2.7535641453720023E-2</v>
      </c>
      <c r="G234" s="10">
        <v>0.17439114762763175</v>
      </c>
      <c r="H234" s="10">
        <v>0.16242293762350876</v>
      </c>
      <c r="I234" s="10">
        <v>0.13881924095527609</v>
      </c>
      <c r="J234" s="10">
        <v>3.5049263883726346E-2</v>
      </c>
      <c r="K234" s="10">
        <v>0.18010021958210773</v>
      </c>
      <c r="L234" s="10">
        <v>0.37733747713270371</v>
      </c>
      <c r="M234" s="10">
        <v>0.4552529949590608</v>
      </c>
      <c r="N234" s="10">
        <v>0.33845806279340823</v>
      </c>
      <c r="O234" s="10">
        <v>0.39136618069286888</v>
      </c>
      <c r="P234" s="10">
        <v>0.39060367889451042</v>
      </c>
      <c r="Q234" s="10">
        <v>20.756245613099999</v>
      </c>
      <c r="R234" s="10">
        <v>38.9196743965</v>
      </c>
      <c r="S234" s="10">
        <v>24.750545819599999</v>
      </c>
      <c r="T234" s="10">
        <v>41.121795177499997</v>
      </c>
      <c r="U234" s="10">
        <v>61.077558835300003</v>
      </c>
      <c r="V234" s="10">
        <v>28.728796800000001</v>
      </c>
      <c r="W234" s="10">
        <v>28.06952952</v>
      </c>
      <c r="X234" s="10">
        <v>-25.500475160000001</v>
      </c>
    </row>
    <row r="235" spans="1:24" x14ac:dyDescent="0.45">
      <c r="A235">
        <v>79900014</v>
      </c>
      <c r="B235" t="s">
        <v>29</v>
      </c>
      <c r="D235">
        <v>1</v>
      </c>
      <c r="E235" s="10">
        <v>0.48015075207205937</v>
      </c>
      <c r="F235" s="10">
        <v>0.2005685408480887</v>
      </c>
      <c r="G235" s="10">
        <v>6.596124833669896E-2</v>
      </c>
      <c r="H235" s="10">
        <v>2.7002863475142157E-4</v>
      </c>
      <c r="I235" s="10">
        <v>0.11540006382970354</v>
      </c>
      <c r="J235" s="10">
        <v>1.9316135939868757E-2</v>
      </c>
      <c r="K235" s="10">
        <v>0.83498508340834099</v>
      </c>
      <c r="L235" s="10">
        <v>0.54812627014696702</v>
      </c>
      <c r="M235" s="10">
        <v>0.54193484505825684</v>
      </c>
      <c r="N235" s="10">
        <v>0.4783082088167282</v>
      </c>
      <c r="O235" s="10">
        <v>0.59384604741098801</v>
      </c>
      <c r="P235" s="10">
        <v>0.54055384285823505</v>
      </c>
      <c r="Q235" s="10">
        <v>21.503941535900001</v>
      </c>
      <c r="R235" s="10">
        <v>35.583100299400002</v>
      </c>
      <c r="S235" s="10">
        <v>22.987943921799999</v>
      </c>
      <c r="T235" s="10">
        <v>37.119660202299997</v>
      </c>
      <c r="U235" s="10">
        <v>55.0529132765</v>
      </c>
      <c r="V235" s="10">
        <v>27.171888585000001</v>
      </c>
      <c r="W235" s="10">
        <v>28.135637469999999</v>
      </c>
      <c r="X235" s="10">
        <v>-25.42466658</v>
      </c>
    </row>
    <row r="236" spans="1:24" x14ac:dyDescent="0.45">
      <c r="A236">
        <v>79900015</v>
      </c>
      <c r="B236" t="s">
        <v>29</v>
      </c>
      <c r="D236">
        <v>1</v>
      </c>
      <c r="E236" s="10">
        <v>0.76078965271015064</v>
      </c>
      <c r="F236" s="10">
        <v>2.9795758502517639E-3</v>
      </c>
      <c r="G236" s="10">
        <v>0.35029275770458568</v>
      </c>
      <c r="H236" s="10">
        <v>3.025311457557649E-3</v>
      </c>
      <c r="I236" s="10">
        <v>4.0594647876214723E-2</v>
      </c>
      <c r="J236" s="10">
        <v>8.6480546499396183E-2</v>
      </c>
      <c r="K236" s="10">
        <v>0.25957299546485985</v>
      </c>
      <c r="L236" s="10">
        <v>0.33168888373355193</v>
      </c>
      <c r="M236" s="10">
        <v>0.32460760196792138</v>
      </c>
      <c r="N236" s="10">
        <v>0.26338865444033305</v>
      </c>
      <c r="O236" s="10">
        <v>0.35174530729210779</v>
      </c>
      <c r="P236" s="10">
        <v>0.31785761185847849</v>
      </c>
      <c r="Q236" s="10">
        <v>27.735733032199999</v>
      </c>
      <c r="R236" s="10">
        <v>44.645758734799998</v>
      </c>
      <c r="S236" s="10">
        <v>30.100462807500001</v>
      </c>
      <c r="T236" s="10">
        <v>43.4560724894</v>
      </c>
      <c r="U236" s="10">
        <v>68.724909464500001</v>
      </c>
      <c r="V236" s="10">
        <v>36.301593356700003</v>
      </c>
      <c r="W236" s="10">
        <v>28.394650989999999</v>
      </c>
      <c r="X236" s="10">
        <v>-25.717638579999999</v>
      </c>
    </row>
    <row r="237" spans="1:24" x14ac:dyDescent="0.45">
      <c r="A237">
        <v>79900016</v>
      </c>
      <c r="B237" t="s">
        <v>29</v>
      </c>
      <c r="D237">
        <v>1</v>
      </c>
      <c r="E237" s="10">
        <v>0.61299028444584058</v>
      </c>
      <c r="F237" s="10">
        <v>5.1671520882590964E-2</v>
      </c>
      <c r="G237" s="10">
        <v>0.3429057226740746</v>
      </c>
      <c r="H237" s="10">
        <v>7.7929978528304949E-3</v>
      </c>
      <c r="I237" s="10">
        <v>0.20542532426603058</v>
      </c>
      <c r="J237" s="10">
        <v>8.3640686824955054E-2</v>
      </c>
      <c r="K237" s="10">
        <v>0.20691191338972051</v>
      </c>
      <c r="L237" s="10">
        <v>0.39889280374259217</v>
      </c>
      <c r="M237" s="10">
        <v>0.49272745616128083</v>
      </c>
      <c r="N237" s="10">
        <v>0.39557672701980245</v>
      </c>
      <c r="O237" s="10">
        <v>0.51373450590837799</v>
      </c>
      <c r="P237" s="10">
        <v>0.45023287320801336</v>
      </c>
      <c r="Q237" s="10">
        <v>24.827310774099999</v>
      </c>
      <c r="R237" s="10">
        <v>44.785088009299997</v>
      </c>
      <c r="S237" s="10">
        <v>30.003591113599999</v>
      </c>
      <c r="T237" s="10">
        <v>43.569796244300001</v>
      </c>
      <c r="U237" s="10">
        <v>69.490447997999993</v>
      </c>
      <c r="V237" s="10">
        <v>36.076519860200001</v>
      </c>
      <c r="W237" s="10">
        <v>28.397370410000001</v>
      </c>
      <c r="X237" s="10">
        <v>-25.706226359999999</v>
      </c>
    </row>
    <row r="238" spans="1:24" x14ac:dyDescent="0.45">
      <c r="A238">
        <v>79900017</v>
      </c>
      <c r="B238" t="s">
        <v>29</v>
      </c>
      <c r="D238">
        <v>1</v>
      </c>
      <c r="E238" s="10">
        <v>0.58541783247322154</v>
      </c>
      <c r="F238" s="10">
        <v>0.12329071272502118</v>
      </c>
      <c r="G238" s="10">
        <v>0.33611451099024653</v>
      </c>
      <c r="H238" s="10">
        <v>6.2457083791727459E-4</v>
      </c>
      <c r="I238" s="10">
        <v>0.30109949926785567</v>
      </c>
      <c r="J238" s="10">
        <v>5.8838596203060957E-2</v>
      </c>
      <c r="K238" s="10">
        <v>0.13028556220127438</v>
      </c>
      <c r="L238" s="10">
        <v>0.36951444958692753</v>
      </c>
      <c r="M238" s="10">
        <v>0.4424275165775583</v>
      </c>
      <c r="N238" s="10">
        <v>0.36261792621278244</v>
      </c>
      <c r="O238" s="10">
        <v>0.46823356268035093</v>
      </c>
      <c r="P238" s="10">
        <v>0.41069836376440477</v>
      </c>
      <c r="Q238" s="10">
        <v>21.685000419600001</v>
      </c>
      <c r="R238" s="10">
        <v>44.495973745999997</v>
      </c>
      <c r="S238" s="10">
        <v>29.517378409700001</v>
      </c>
      <c r="T238" s="10">
        <v>43.071223894799999</v>
      </c>
      <c r="U238" s="10">
        <v>69.824537913</v>
      </c>
      <c r="V238" s="10">
        <v>35.570760567999997</v>
      </c>
      <c r="W238" s="10">
        <v>28.4172239</v>
      </c>
      <c r="X238" s="10">
        <v>-25.700376640000002</v>
      </c>
    </row>
    <row r="239" spans="1:24" x14ac:dyDescent="0.45">
      <c r="A239">
        <v>79900018</v>
      </c>
      <c r="B239" t="s">
        <v>29</v>
      </c>
      <c r="D239">
        <v>1</v>
      </c>
      <c r="E239" s="10">
        <v>0.70662172793616407</v>
      </c>
      <c r="F239" s="10">
        <v>1.2439345548756026E-2</v>
      </c>
      <c r="G239" s="10">
        <v>0.32269793282930365</v>
      </c>
      <c r="H239" s="10">
        <v>0</v>
      </c>
      <c r="I239" s="10">
        <v>0.13937374851664777</v>
      </c>
      <c r="J239" s="10">
        <v>7.5772657173278801E-2</v>
      </c>
      <c r="K239" s="10">
        <v>0.25993205646120882</v>
      </c>
      <c r="L239" s="10">
        <v>0.31252097094425346</v>
      </c>
      <c r="M239" s="10">
        <v>0.34696549147988748</v>
      </c>
      <c r="N239" s="10">
        <v>0.27478056182349714</v>
      </c>
      <c r="O239" s="10">
        <v>0.36975719915275373</v>
      </c>
      <c r="P239" s="10">
        <v>0.32600605585009795</v>
      </c>
      <c r="Q239" s="10">
        <v>28.199069976800001</v>
      </c>
      <c r="R239" s="10">
        <v>44.155649038500002</v>
      </c>
      <c r="S239" s="10">
        <v>29.9057825529</v>
      </c>
      <c r="T239" s="10">
        <v>43.113471398000001</v>
      </c>
      <c r="U239" s="10">
        <v>67.618987450199995</v>
      </c>
      <c r="V239" s="10">
        <v>35.984354752800002</v>
      </c>
      <c r="W239" s="10">
        <v>28.380408660000001</v>
      </c>
      <c r="X239" s="10">
        <v>-25.719002</v>
      </c>
    </row>
    <row r="240" spans="1:24" x14ac:dyDescent="0.45">
      <c r="A240">
        <v>79900019</v>
      </c>
      <c r="B240" t="s">
        <v>29</v>
      </c>
      <c r="D240">
        <v>1</v>
      </c>
      <c r="E240" s="10">
        <v>0.57342316097240364</v>
      </c>
      <c r="F240" s="10">
        <v>9.7050679633275794E-2</v>
      </c>
      <c r="G240" s="10">
        <v>0.13059745390352936</v>
      </c>
      <c r="H240" s="10">
        <v>1.3235607849168209E-3</v>
      </c>
      <c r="I240" s="10">
        <v>0.1002325737496248</v>
      </c>
      <c r="J240" s="10">
        <v>2.7729690948716971E-2</v>
      </c>
      <c r="K240" s="10">
        <v>0.41081768967209964</v>
      </c>
      <c r="L240" s="10">
        <v>0.40872990597796921</v>
      </c>
      <c r="M240" s="10">
        <v>0.56703537042719365</v>
      </c>
      <c r="N240" s="10">
        <v>0.35109893434718809</v>
      </c>
      <c r="O240" s="10">
        <v>0.44034817700048617</v>
      </c>
      <c r="P240" s="10">
        <v>0.44180309693820929</v>
      </c>
      <c r="Q240" s="10">
        <v>21.298535347000001</v>
      </c>
      <c r="R240" s="10">
        <v>37.528917789499999</v>
      </c>
      <c r="S240" s="10">
        <v>24.880078554200001</v>
      </c>
      <c r="T240" s="10">
        <v>39.9845240593</v>
      </c>
      <c r="U240" s="10">
        <v>57.336046409600002</v>
      </c>
      <c r="V240" s="10">
        <v>27.915023946800002</v>
      </c>
      <c r="W240" s="10">
        <v>28.04448125</v>
      </c>
      <c r="X240" s="10">
        <v>-25.482400739999999</v>
      </c>
    </row>
    <row r="241" spans="1:24" x14ac:dyDescent="0.45">
      <c r="A241">
        <v>79900020</v>
      </c>
      <c r="B241" t="s">
        <v>29</v>
      </c>
      <c r="D241">
        <v>1</v>
      </c>
      <c r="E241" s="10">
        <v>0.60918141720898311</v>
      </c>
      <c r="F241" s="10">
        <v>0.1095143783155679</v>
      </c>
      <c r="G241" s="10">
        <v>0.21448893401249253</v>
      </c>
      <c r="H241" s="10">
        <v>5.6289265217666371E-3</v>
      </c>
      <c r="I241" s="10">
        <v>5.8621902808204396E-2</v>
      </c>
      <c r="J241" s="10">
        <v>2.1852933594501314E-2</v>
      </c>
      <c r="K241" s="10">
        <v>0.20608870745067523</v>
      </c>
      <c r="L241" s="10">
        <v>0.47243540272543666</v>
      </c>
      <c r="M241" s="10">
        <v>0.58212180432981486</v>
      </c>
      <c r="N241" s="10">
        <v>0.40074512545593999</v>
      </c>
      <c r="O241" s="10">
        <v>0.5049591366400028</v>
      </c>
      <c r="P241" s="10">
        <v>0.49006536728779859</v>
      </c>
      <c r="Q241" s="10">
        <v>20.198908805799999</v>
      </c>
      <c r="R241" s="10">
        <v>40.308746337899997</v>
      </c>
      <c r="S241" s="10">
        <v>24.485591888399998</v>
      </c>
      <c r="T241" s="10">
        <v>42.237823486300002</v>
      </c>
      <c r="U241" s="10">
        <v>64.992462158199999</v>
      </c>
      <c r="V241" s="10">
        <v>29.5191001892</v>
      </c>
      <c r="W241" s="10">
        <v>28.062316320000001</v>
      </c>
      <c r="X241" s="10">
        <v>-25.528534440000001</v>
      </c>
    </row>
    <row r="242" spans="1:24" x14ac:dyDescent="0.45">
      <c r="A242">
        <v>79900021</v>
      </c>
      <c r="B242" t="s">
        <v>29</v>
      </c>
      <c r="D242">
        <v>1</v>
      </c>
      <c r="E242" s="10">
        <v>0.79202681432069244</v>
      </c>
      <c r="F242" s="10">
        <v>4.8454554382328678E-3</v>
      </c>
      <c r="G242" s="10">
        <v>0.16423390864554402</v>
      </c>
      <c r="H242" s="10">
        <v>8.2504271051621492E-3</v>
      </c>
      <c r="I242" s="10">
        <v>3.6472009345323922E-2</v>
      </c>
      <c r="J242" s="10">
        <v>5.243528323147837E-2</v>
      </c>
      <c r="K242" s="10">
        <v>0.19144313189465917</v>
      </c>
      <c r="L242" s="10">
        <v>0.32961631987905532</v>
      </c>
      <c r="M242" s="10">
        <v>0.30322645126745779</v>
      </c>
      <c r="N242" s="10">
        <v>0.25704263688889567</v>
      </c>
      <c r="O242" s="10">
        <v>0.29390770003859751</v>
      </c>
      <c r="P242" s="10">
        <v>0.29594827701850157</v>
      </c>
      <c r="Q242" s="10">
        <v>19.480447769200001</v>
      </c>
      <c r="R242" s="10">
        <v>39.020756339999998</v>
      </c>
      <c r="S242" s="10">
        <v>24.801147270200001</v>
      </c>
      <c r="T242" s="10">
        <v>41.344491767900003</v>
      </c>
      <c r="U242" s="10">
        <v>61.251673698399998</v>
      </c>
      <c r="V242" s="10">
        <v>28.685711669900002</v>
      </c>
      <c r="W242" s="10">
        <v>28.05926213</v>
      </c>
      <c r="X242" s="10">
        <v>-25.50980474</v>
      </c>
    </row>
    <row r="243" spans="1:24" x14ac:dyDescent="0.45">
      <c r="A243">
        <v>79900022</v>
      </c>
      <c r="B243" t="s">
        <v>29</v>
      </c>
      <c r="D243">
        <v>1</v>
      </c>
      <c r="E243" s="10">
        <v>0.2527787331805072</v>
      </c>
      <c r="F243" s="10">
        <v>2.5823799057731019E-2</v>
      </c>
      <c r="G243" s="10">
        <v>0.12802485853614382</v>
      </c>
      <c r="H243" s="10">
        <v>3.1796461428322707E-3</v>
      </c>
      <c r="I243" s="10">
        <v>7.3246958446940583E-2</v>
      </c>
      <c r="J243" s="10">
        <v>1.2622802073177269E-2</v>
      </c>
      <c r="K243" s="10">
        <v>0.45320635793594144</v>
      </c>
      <c r="L243" s="10">
        <v>0.54631141446078313</v>
      </c>
      <c r="M243" s="10">
        <v>0.73152567595896512</v>
      </c>
      <c r="N243" s="10">
        <v>0.47975667266691013</v>
      </c>
      <c r="O243" s="10">
        <v>0.62658763345116764</v>
      </c>
      <c r="P243" s="10">
        <v>0.5960453491344565</v>
      </c>
      <c r="Q243" s="10">
        <v>20.2557918549</v>
      </c>
      <c r="R243" s="10">
        <v>38.551746368400003</v>
      </c>
      <c r="S243" s="10">
        <v>25.013135909999999</v>
      </c>
      <c r="T243" s="10">
        <v>41.1614570618</v>
      </c>
      <c r="U243" s="10">
        <v>59.7435150146</v>
      </c>
      <c r="V243" s="10">
        <v>28.2888793945</v>
      </c>
      <c r="W243" s="10">
        <v>28.024508010000002</v>
      </c>
      <c r="X243" s="10">
        <v>-25.511638749999999</v>
      </c>
    </row>
    <row r="244" spans="1:24" x14ac:dyDescent="0.45">
      <c r="A244">
        <v>79900023</v>
      </c>
      <c r="B244" t="s">
        <v>29</v>
      </c>
      <c r="D244">
        <v>1</v>
      </c>
      <c r="E244" s="10">
        <v>0.60449536783088764</v>
      </c>
      <c r="F244" s="10">
        <v>3.1885871106457908E-2</v>
      </c>
      <c r="G244" s="10">
        <v>0.30261000170050878</v>
      </c>
      <c r="H244" s="10">
        <v>2.0963485841918782E-2</v>
      </c>
      <c r="I244" s="10">
        <v>0.22399210664271363</v>
      </c>
      <c r="J244" s="10">
        <v>7.7293698360661564E-2</v>
      </c>
      <c r="K244" s="10">
        <v>0.21387115171667759</v>
      </c>
      <c r="L244" s="10">
        <v>0.38614811593903092</v>
      </c>
      <c r="M244" s="10">
        <v>0.47525717896217107</v>
      </c>
      <c r="N244" s="10">
        <v>0.38418257506165138</v>
      </c>
      <c r="O244" s="10">
        <v>0.49511887679367772</v>
      </c>
      <c r="P244" s="10">
        <v>0.43517668668913279</v>
      </c>
      <c r="Q244" s="10">
        <v>22.9924475352</v>
      </c>
      <c r="R244" s="10">
        <v>44.000690460199998</v>
      </c>
      <c r="S244" s="10">
        <v>29.868007024099999</v>
      </c>
      <c r="T244" s="10">
        <v>43.172198825400002</v>
      </c>
      <c r="U244" s="10">
        <v>67.222855461999998</v>
      </c>
      <c r="V244" s="10">
        <v>35.739694807299998</v>
      </c>
      <c r="W244" s="10">
        <v>28.369677599999999</v>
      </c>
      <c r="X244" s="10">
        <v>-25.711868800000001</v>
      </c>
    </row>
    <row r="245" spans="1:24" x14ac:dyDescent="0.45">
      <c r="A245">
        <v>79900024</v>
      </c>
      <c r="B245" t="s">
        <v>29</v>
      </c>
      <c r="D245">
        <v>1</v>
      </c>
      <c r="E245" s="10">
        <v>0.62053232951419801</v>
      </c>
      <c r="F245" s="10">
        <v>0.27821246982895875</v>
      </c>
      <c r="G245" s="10">
        <v>5.3358140285465691E-2</v>
      </c>
      <c r="H245" s="10">
        <v>2.0945913723132453E-4</v>
      </c>
      <c r="I245" s="10">
        <v>4.4654805863969742E-2</v>
      </c>
      <c r="J245" s="10">
        <v>2.4991677954036939E-3</v>
      </c>
      <c r="K245" s="10">
        <v>1</v>
      </c>
      <c r="L245" s="10">
        <v>0.60560501402881672</v>
      </c>
      <c r="M245" s="10">
        <v>0.80721653560461049</v>
      </c>
      <c r="N245" s="10">
        <v>0.48441917893067932</v>
      </c>
      <c r="O245" s="10">
        <v>0.70441004727776768</v>
      </c>
      <c r="P245" s="10">
        <v>0.65041269396046864</v>
      </c>
      <c r="Q245" s="10">
        <v>19.212475395199998</v>
      </c>
      <c r="R245" s="10">
        <v>32.978145599400001</v>
      </c>
      <c r="S245" s="10">
        <v>22.373861312900001</v>
      </c>
      <c r="T245" s="10">
        <v>35.445632934599999</v>
      </c>
      <c r="U245" s="10">
        <v>49.4306411743</v>
      </c>
      <c r="V245" s="10">
        <v>24.662443160999999</v>
      </c>
      <c r="W245" s="10">
        <v>28.012257999999999</v>
      </c>
      <c r="X245" s="10">
        <v>-25.41463418</v>
      </c>
    </row>
    <row r="246" spans="1:24" x14ac:dyDescent="0.45">
      <c r="A246">
        <v>79900025</v>
      </c>
      <c r="B246" t="s">
        <v>29</v>
      </c>
      <c r="D246">
        <v>1</v>
      </c>
      <c r="E246" s="10">
        <v>0.56984680491267425</v>
      </c>
      <c r="F246" s="10">
        <v>0.14192001039341337</v>
      </c>
      <c r="G246" s="10">
        <v>9.5795061790549668E-2</v>
      </c>
      <c r="H246" s="10">
        <v>1.2935172016704039E-2</v>
      </c>
      <c r="I246" s="10">
        <v>0.23024320656675881</v>
      </c>
      <c r="J246" s="10">
        <v>3.9417205062595204E-2</v>
      </c>
      <c r="K246" s="10">
        <v>0.61317325051089611</v>
      </c>
      <c r="L246" s="10">
        <v>0.4307062302513594</v>
      </c>
      <c r="M246" s="10">
        <v>0.5669609308936322</v>
      </c>
      <c r="N246" s="10">
        <v>0.42300218278306057</v>
      </c>
      <c r="O246" s="10">
        <v>0.50923530328113453</v>
      </c>
      <c r="P246" s="10">
        <v>0.48247616180229669</v>
      </c>
      <c r="Q246" s="10">
        <v>23.180088043200001</v>
      </c>
      <c r="R246" s="10">
        <v>36.696098937999999</v>
      </c>
      <c r="S246" s="10">
        <v>23.970769043000001</v>
      </c>
      <c r="T246" s="10">
        <v>38.413388366699998</v>
      </c>
      <c r="U246" s="10">
        <v>56.646771850599997</v>
      </c>
      <c r="V246" s="10">
        <v>27.753471298200001</v>
      </c>
      <c r="W246" s="10">
        <v>28.109805720000001</v>
      </c>
      <c r="X246" s="10">
        <v>-25.445122560000001</v>
      </c>
    </row>
    <row r="247" spans="1:24" x14ac:dyDescent="0.45">
      <c r="A247">
        <v>79900026</v>
      </c>
      <c r="B247" t="s">
        <v>29</v>
      </c>
      <c r="D247">
        <v>1</v>
      </c>
      <c r="E247" s="10">
        <v>0.48312019495402891</v>
      </c>
      <c r="F247" s="10">
        <v>7.5334575021123798E-2</v>
      </c>
      <c r="G247" s="10">
        <v>0.11960883176195242</v>
      </c>
      <c r="H247" s="10">
        <v>3.6112662055319599E-4</v>
      </c>
      <c r="I247" s="10">
        <v>0.21984806800135806</v>
      </c>
      <c r="J247" s="10">
        <v>3.5089709642738907E-2</v>
      </c>
      <c r="K247" s="10">
        <v>0.43872796949521203</v>
      </c>
      <c r="L247" s="10">
        <v>0.43990119480656775</v>
      </c>
      <c r="M247" s="10">
        <v>0.57876357895901986</v>
      </c>
      <c r="N247" s="10">
        <v>0.42445032859232157</v>
      </c>
      <c r="O247" s="10">
        <v>0.51045107279956836</v>
      </c>
      <c r="P247" s="10">
        <v>0.48839154378936939</v>
      </c>
      <c r="Q247" s="10">
        <v>21.999823570299998</v>
      </c>
      <c r="R247" s="10">
        <v>37.9112435913</v>
      </c>
      <c r="S247" s="10">
        <v>24.398146667500001</v>
      </c>
      <c r="T247" s="10">
        <v>39.642898712200001</v>
      </c>
      <c r="U247" s="10">
        <v>59.204843292200003</v>
      </c>
      <c r="V247" s="10">
        <v>28.399088974000001</v>
      </c>
      <c r="W247" s="10">
        <v>28.111594409999999</v>
      </c>
      <c r="X247" s="10">
        <v>-25.46830525</v>
      </c>
    </row>
    <row r="248" spans="1:24" x14ac:dyDescent="0.45">
      <c r="A248">
        <v>79900027</v>
      </c>
      <c r="B248" t="s">
        <v>29</v>
      </c>
      <c r="D248">
        <v>1</v>
      </c>
      <c r="E248" s="10">
        <v>0.69090832897709165</v>
      </c>
      <c r="F248" s="10">
        <v>0.13753470518187283</v>
      </c>
      <c r="G248" s="10">
        <v>0.14564747614140702</v>
      </c>
      <c r="H248" s="10">
        <v>0</v>
      </c>
      <c r="I248" s="10">
        <v>0.32140609625274158</v>
      </c>
      <c r="J248" s="10">
        <v>4.7636356338235625E-2</v>
      </c>
      <c r="K248" s="10">
        <v>0.48667458175411671</v>
      </c>
      <c r="L248" s="10">
        <v>0.40951268110009409</v>
      </c>
      <c r="M248" s="10">
        <v>0.44970431975009345</v>
      </c>
      <c r="N248" s="10">
        <v>0.35843325761310213</v>
      </c>
      <c r="O248" s="10">
        <v>0.4340043162149515</v>
      </c>
      <c r="P248" s="10">
        <v>0.41291364366956029</v>
      </c>
      <c r="Q248" s="10">
        <v>20.9099912643</v>
      </c>
      <c r="R248" s="10">
        <v>37.327853066599999</v>
      </c>
      <c r="S248" s="10">
        <v>23.8635250273</v>
      </c>
      <c r="T248" s="10">
        <v>38.8804197766</v>
      </c>
      <c r="U248" s="10">
        <v>58.663921174499997</v>
      </c>
      <c r="V248" s="10">
        <v>27.903549739300001</v>
      </c>
      <c r="W248" s="10">
        <v>28.131550099999998</v>
      </c>
      <c r="X248" s="10">
        <v>-25.469439909999998</v>
      </c>
    </row>
    <row r="249" spans="1:24" x14ac:dyDescent="0.45">
      <c r="A249">
        <v>79900028</v>
      </c>
      <c r="B249" t="s">
        <v>29</v>
      </c>
      <c r="D249">
        <v>1</v>
      </c>
      <c r="E249" s="10">
        <v>0.78332018704471862</v>
      </c>
      <c r="F249" s="10">
        <v>1.9180407644007913E-2</v>
      </c>
      <c r="G249" s="10">
        <v>0.30957923374835161</v>
      </c>
      <c r="H249" s="10">
        <v>1.3988383674101322E-3</v>
      </c>
      <c r="I249" s="10">
        <v>0.15404860211498494</v>
      </c>
      <c r="J249" s="10">
        <v>9.7943631036741044E-2</v>
      </c>
      <c r="K249" s="10">
        <v>0.22550426016326466</v>
      </c>
      <c r="L249" s="10">
        <v>0.29156412455874187</v>
      </c>
      <c r="M249" s="10">
        <v>0.3173707351909873</v>
      </c>
      <c r="N249" s="10">
        <v>0.25350322342350701</v>
      </c>
      <c r="O249" s="10">
        <v>0.33656964487953034</v>
      </c>
      <c r="P249" s="10">
        <v>0.29975193201319161</v>
      </c>
      <c r="Q249" s="10">
        <v>22.0140907764</v>
      </c>
      <c r="R249" s="10">
        <v>43.703265190099998</v>
      </c>
      <c r="S249" s="10">
        <v>29.7801759243</v>
      </c>
      <c r="T249" s="10">
        <v>43.004890441900002</v>
      </c>
      <c r="U249" s="10">
        <v>66.350476264999998</v>
      </c>
      <c r="V249" s="10">
        <v>35.677513599400001</v>
      </c>
      <c r="W249" s="10">
        <v>28.35563934</v>
      </c>
      <c r="X249" s="10">
        <v>-25.71493925</v>
      </c>
    </row>
    <row r="250" spans="1:24" x14ac:dyDescent="0.45">
      <c r="A250">
        <v>79900029</v>
      </c>
      <c r="B250" t="s">
        <v>29</v>
      </c>
      <c r="D250">
        <v>1</v>
      </c>
      <c r="E250" s="10">
        <v>0.56395525115420453</v>
      </c>
      <c r="F250" s="10">
        <v>5.8547643328950398E-2</v>
      </c>
      <c r="G250" s="10">
        <v>0.18604321538510651</v>
      </c>
      <c r="H250" s="10">
        <v>2.1445720126118097E-2</v>
      </c>
      <c r="I250" s="10">
        <v>0.20117291655234912</v>
      </c>
      <c r="J250" s="10">
        <v>3.9253461569526485E-2</v>
      </c>
      <c r="K250" s="10">
        <v>0.19232802320262896</v>
      </c>
      <c r="L250" s="10">
        <v>0.41501525192378264</v>
      </c>
      <c r="M250" s="10">
        <v>0.50109218516202325</v>
      </c>
      <c r="N250" s="10">
        <v>0.36920387318005521</v>
      </c>
      <c r="O250" s="10">
        <v>0.45126202094001239</v>
      </c>
      <c r="P250" s="10">
        <v>0.43414333280146838</v>
      </c>
      <c r="Q250" s="10">
        <v>20.873393058800001</v>
      </c>
      <c r="R250" s="10">
        <v>39.128302982900003</v>
      </c>
      <c r="S250" s="10">
        <v>24.714625971699999</v>
      </c>
      <c r="T250" s="10">
        <v>41.119575500499998</v>
      </c>
      <c r="U250" s="10">
        <v>61.669617244199998</v>
      </c>
      <c r="V250" s="10">
        <v>29.0093921253</v>
      </c>
      <c r="W250" s="10">
        <v>28.08956448</v>
      </c>
      <c r="X250" s="10">
        <v>-25.494026219999999</v>
      </c>
    </row>
    <row r="251" spans="1:24" x14ac:dyDescent="0.45">
      <c r="A251">
        <v>79900030</v>
      </c>
      <c r="B251" t="s">
        <v>29</v>
      </c>
      <c r="D251">
        <v>1</v>
      </c>
      <c r="E251" s="10">
        <v>0.23059034151723429</v>
      </c>
      <c r="F251" s="10">
        <v>7.3515324769225761E-3</v>
      </c>
      <c r="G251" s="10">
        <v>0.17545142880313028</v>
      </c>
      <c r="H251" s="10">
        <v>0.1124957694969561</v>
      </c>
      <c r="I251" s="10">
        <v>5.2151503239650794E-2</v>
      </c>
      <c r="J251" s="10">
        <v>1.4720452832927337E-2</v>
      </c>
      <c r="K251" s="10">
        <v>0.37791491456994009</v>
      </c>
      <c r="L251" s="10">
        <v>0.44342248894026642</v>
      </c>
      <c r="M251" s="10">
        <v>0.80831544388339693</v>
      </c>
      <c r="N251" s="10">
        <v>0.42418381291653301</v>
      </c>
      <c r="O251" s="10">
        <v>0.67003032959315556</v>
      </c>
      <c r="P251" s="10">
        <v>0.5864880188333379</v>
      </c>
      <c r="Q251" s="10">
        <v>22.6525694529</v>
      </c>
      <c r="R251" s="10">
        <v>42.315147224500002</v>
      </c>
      <c r="S251" s="10">
        <v>29.572740839800002</v>
      </c>
      <c r="T251" s="10">
        <v>46.338036065799997</v>
      </c>
      <c r="U251" s="10">
        <v>60.787473218199999</v>
      </c>
      <c r="V251" s="10">
        <v>32.562339914299997</v>
      </c>
      <c r="W251" s="10">
        <v>27.986418149999999</v>
      </c>
      <c r="X251" s="10">
        <v>-25.57365463</v>
      </c>
    </row>
    <row r="252" spans="1:24" x14ac:dyDescent="0.45">
      <c r="A252">
        <v>79900031</v>
      </c>
      <c r="B252" t="s">
        <v>29</v>
      </c>
      <c r="D252">
        <v>1</v>
      </c>
      <c r="E252" s="10">
        <v>0.57593047086784221</v>
      </c>
      <c r="F252" s="10">
        <v>1.1774679872969771E-2</v>
      </c>
      <c r="G252" s="10">
        <v>0.21999707236840485</v>
      </c>
      <c r="H252" s="10">
        <v>1.685208633372817E-3</v>
      </c>
      <c r="I252" s="10">
        <v>8.1311764567649963E-2</v>
      </c>
      <c r="J252" s="10">
        <v>2.6416888201716233E-2</v>
      </c>
      <c r="K252" s="10">
        <v>0.10462753838663923</v>
      </c>
      <c r="L252" s="10">
        <v>0.51920044237475171</v>
      </c>
      <c r="M252" s="10">
        <v>0.74781993164126437</v>
      </c>
      <c r="N252" s="10">
        <v>0.45784886580681167</v>
      </c>
      <c r="O252" s="10">
        <v>0.65326655876494888</v>
      </c>
      <c r="P252" s="10">
        <v>0.59453394964694417</v>
      </c>
      <c r="Q252" s="10">
        <v>27.217291832000001</v>
      </c>
      <c r="R252" s="10">
        <v>48.877378752699997</v>
      </c>
      <c r="S252" s="10">
        <v>36.340705524800001</v>
      </c>
      <c r="T252" s="10">
        <v>53.224693991899997</v>
      </c>
      <c r="U252" s="10">
        <v>66.770617745099997</v>
      </c>
      <c r="V252" s="10">
        <v>39.173498211499997</v>
      </c>
      <c r="W252" s="10">
        <v>27.992306660000001</v>
      </c>
      <c r="X252" s="10">
        <v>-25.60837235</v>
      </c>
    </row>
    <row r="253" spans="1:24" x14ac:dyDescent="0.45">
      <c r="A253">
        <v>79900032</v>
      </c>
      <c r="B253" t="s">
        <v>29</v>
      </c>
      <c r="D253">
        <v>1</v>
      </c>
      <c r="E253" s="10">
        <v>0.17666900767470581</v>
      </c>
      <c r="F253" s="10">
        <v>8.2670146940467953E-2</v>
      </c>
      <c r="G253" s="10">
        <v>0.21759454071040477</v>
      </c>
      <c r="H253" s="10">
        <v>1.9845698167459597E-2</v>
      </c>
      <c r="I253" s="10">
        <v>7.2521836604729439E-2</v>
      </c>
      <c r="J253" s="10">
        <v>7.7122378357774562E-3</v>
      </c>
      <c r="K253" s="10">
        <v>0.24743266031435068</v>
      </c>
      <c r="L253" s="10">
        <v>0.49484876545576423</v>
      </c>
      <c r="M253" s="10">
        <v>0.78849118369047533</v>
      </c>
      <c r="N253" s="10">
        <v>0.41775449494186973</v>
      </c>
      <c r="O253" s="10">
        <v>0.68495397407507341</v>
      </c>
      <c r="P253" s="10">
        <v>0.59651210454079573</v>
      </c>
      <c r="Q253" s="10">
        <v>30.217564106000001</v>
      </c>
      <c r="R253" s="10">
        <v>47.474700927699999</v>
      </c>
      <c r="S253" s="10">
        <v>31.8489685059</v>
      </c>
      <c r="T253" s="10">
        <v>51.3459587097</v>
      </c>
      <c r="U253" s="10">
        <v>69.886802673299997</v>
      </c>
      <c r="V253" s="10">
        <v>36.817073821999998</v>
      </c>
      <c r="W253" s="10">
        <v>28.024229689999999</v>
      </c>
      <c r="X253" s="10">
        <v>-25.595682140000001</v>
      </c>
    </row>
    <row r="254" spans="1:24" x14ac:dyDescent="0.45">
      <c r="A254">
        <v>79900033</v>
      </c>
      <c r="B254" t="s">
        <v>29</v>
      </c>
      <c r="D254">
        <v>1</v>
      </c>
      <c r="E254" s="10">
        <v>0.69331645160281152</v>
      </c>
      <c r="F254" s="10">
        <v>1.1160314521108031E-2</v>
      </c>
      <c r="G254" s="10">
        <v>0.27909589861472772</v>
      </c>
      <c r="H254" s="10">
        <v>0</v>
      </c>
      <c r="I254" s="10">
        <v>1.91522413152629E-2</v>
      </c>
      <c r="J254" s="10">
        <v>4.5223220559370801E-2</v>
      </c>
      <c r="K254" s="10">
        <v>0.1393519228741828</v>
      </c>
      <c r="L254" s="10">
        <v>0.37798797368515569</v>
      </c>
      <c r="M254" s="10">
        <v>0.44159882948835294</v>
      </c>
      <c r="N254" s="10">
        <v>0.31159010685850197</v>
      </c>
      <c r="O254" s="10">
        <v>0.43878803918423331</v>
      </c>
      <c r="P254" s="10">
        <v>0.39249123730406099</v>
      </c>
      <c r="Q254" s="10">
        <v>19.282316207899999</v>
      </c>
      <c r="R254" s="10">
        <v>39.759612219700003</v>
      </c>
      <c r="S254" s="10">
        <v>24.4194184712</v>
      </c>
      <c r="T254" s="10">
        <v>41.639887128600002</v>
      </c>
      <c r="U254" s="10">
        <v>63.758126939999997</v>
      </c>
      <c r="V254" s="10">
        <v>29.221009799400001</v>
      </c>
      <c r="W254" s="10">
        <v>28.108599219999999</v>
      </c>
      <c r="X254" s="10">
        <v>-25.507182390000001</v>
      </c>
    </row>
    <row r="255" spans="1:24" x14ac:dyDescent="0.45">
      <c r="A255">
        <v>79900034</v>
      </c>
      <c r="B255" t="s">
        <v>29</v>
      </c>
      <c r="D255">
        <v>1</v>
      </c>
      <c r="E255" s="10">
        <v>0.75452722053562227</v>
      </c>
      <c r="F255" s="10">
        <v>4.1636741384254994E-2</v>
      </c>
      <c r="G255" s="10">
        <v>0.31014733429888092</v>
      </c>
      <c r="H255" s="10">
        <v>3.6301961839291692E-2</v>
      </c>
      <c r="I255" s="10">
        <v>0.16070244614973839</v>
      </c>
      <c r="J255" s="10">
        <v>6.0390385216591742E-2</v>
      </c>
      <c r="K255" s="10">
        <v>3.3779924131304963E-2</v>
      </c>
      <c r="L255" s="10">
        <v>0.35709617866827575</v>
      </c>
      <c r="M255" s="10">
        <v>0.35823593637226253</v>
      </c>
      <c r="N255" s="10">
        <v>0.28743003549447571</v>
      </c>
      <c r="O255" s="10">
        <v>0.36060944954558055</v>
      </c>
      <c r="P255" s="10">
        <v>0.34084290002014861</v>
      </c>
      <c r="Q255" s="10">
        <v>18.135469436600001</v>
      </c>
      <c r="R255" s="10">
        <v>41.217661637500001</v>
      </c>
      <c r="S255" s="10">
        <v>25.081731796300001</v>
      </c>
      <c r="T255" s="10">
        <v>43.285687373199998</v>
      </c>
      <c r="U255" s="10">
        <v>66.204248281600002</v>
      </c>
      <c r="V255" s="10">
        <v>30.298972496600001</v>
      </c>
      <c r="W255" s="10">
        <v>28.106539890000001</v>
      </c>
      <c r="X255" s="10">
        <v>-25.521090560000001</v>
      </c>
    </row>
    <row r="256" spans="1:24" x14ac:dyDescent="0.45">
      <c r="A256">
        <v>79900035</v>
      </c>
      <c r="B256" t="s">
        <v>29</v>
      </c>
      <c r="D256">
        <v>1</v>
      </c>
      <c r="E256" s="10">
        <v>0.36758381661126494</v>
      </c>
      <c r="F256" s="10">
        <v>2.7290808406359335E-2</v>
      </c>
      <c r="G256" s="10">
        <v>0.30854920221288307</v>
      </c>
      <c r="H256" s="10">
        <v>6.7427465286112121E-3</v>
      </c>
      <c r="I256" s="10">
        <v>9.90331827797898E-2</v>
      </c>
      <c r="J256" s="10">
        <v>2.5221508725433533E-2</v>
      </c>
      <c r="K256" s="10">
        <v>0.10083160473906429</v>
      </c>
      <c r="L256" s="10">
        <v>0.45167570631434123</v>
      </c>
      <c r="M256" s="10">
        <v>0.64130907787976899</v>
      </c>
      <c r="N256" s="10">
        <v>0.40121442356464898</v>
      </c>
      <c r="O256" s="10">
        <v>0.54809992830461041</v>
      </c>
      <c r="P256" s="10">
        <v>0.51057478401584233</v>
      </c>
      <c r="Q256" s="10">
        <v>18.893644332899999</v>
      </c>
      <c r="R256" s="10">
        <v>44.426310080100002</v>
      </c>
      <c r="S256" s="10">
        <v>27.484020656999999</v>
      </c>
      <c r="T256" s="10">
        <v>47.108260401999999</v>
      </c>
      <c r="U256" s="10">
        <v>69.9416687577</v>
      </c>
      <c r="V256" s="10">
        <v>33.171283227399996</v>
      </c>
      <c r="W256" s="10">
        <v>28.08858845</v>
      </c>
      <c r="X256" s="10">
        <v>-25.535797670000001</v>
      </c>
    </row>
    <row r="257" spans="1:24" x14ac:dyDescent="0.45">
      <c r="A257">
        <v>79900036</v>
      </c>
      <c r="B257" t="s">
        <v>29</v>
      </c>
      <c r="D257">
        <v>1</v>
      </c>
      <c r="E257" s="10">
        <v>0.55471917644458302</v>
      </c>
      <c r="F257" s="10">
        <v>4.8689590203674069E-2</v>
      </c>
      <c r="G257" s="10">
        <v>0.34135984775540418</v>
      </c>
      <c r="H257" s="10">
        <v>3.1662723869411184E-3</v>
      </c>
      <c r="I257" s="10">
        <v>7.8551170019709599E-2</v>
      </c>
      <c r="J257" s="10">
        <v>3.8565399698680461E-2</v>
      </c>
      <c r="K257" s="10">
        <v>6.9239030866585963E-2</v>
      </c>
      <c r="L257" s="10">
        <v>0.41890882698271609</v>
      </c>
      <c r="M257" s="10">
        <v>0.48567403559030348</v>
      </c>
      <c r="N257" s="10">
        <v>0.38668615392209305</v>
      </c>
      <c r="O257" s="10">
        <v>0.5051870353221054</v>
      </c>
      <c r="P257" s="10">
        <v>0.44911401295430453</v>
      </c>
      <c r="Q257" s="10">
        <v>19.844577789300001</v>
      </c>
      <c r="R257" s="10">
        <v>46.553703308099998</v>
      </c>
      <c r="S257" s="10">
        <v>28.566883450500001</v>
      </c>
      <c r="T257" s="10">
        <v>49.437910352400003</v>
      </c>
      <c r="U257" s="10">
        <v>73.307991391100003</v>
      </c>
      <c r="V257" s="10">
        <v>34.902022588800001</v>
      </c>
      <c r="W257" s="10">
        <v>28.101346750000001</v>
      </c>
      <c r="X257" s="10">
        <v>-25.544571529999999</v>
      </c>
    </row>
    <row r="258" spans="1:24" x14ac:dyDescent="0.45">
      <c r="A258">
        <v>79900037</v>
      </c>
      <c r="B258" t="s">
        <v>29</v>
      </c>
      <c r="D258">
        <v>1</v>
      </c>
      <c r="E258" s="10">
        <v>0.18945764296859052</v>
      </c>
      <c r="F258" s="10">
        <v>7.7690620961576876E-2</v>
      </c>
      <c r="G258" s="10">
        <v>0.22817882524043018</v>
      </c>
      <c r="H258" s="10">
        <v>1.0414672399871338E-3</v>
      </c>
      <c r="I258" s="10">
        <v>0.41611234280314624</v>
      </c>
      <c r="J258" s="10">
        <v>1.6195357289347491E-2</v>
      </c>
      <c r="K258" s="10">
        <v>0.18013995741415037</v>
      </c>
      <c r="L258" s="10">
        <v>0.41912312012180775</v>
      </c>
      <c r="M258" s="10">
        <v>0.71613546140423046</v>
      </c>
      <c r="N258" s="10">
        <v>0.37730584804378098</v>
      </c>
      <c r="O258" s="10">
        <v>0.60170519675156986</v>
      </c>
      <c r="P258" s="10">
        <v>0.52856740658034729</v>
      </c>
      <c r="Q258" s="10">
        <v>28.383160909000001</v>
      </c>
      <c r="R258" s="10">
        <v>53.496795654300001</v>
      </c>
      <c r="S258" s="10">
        <v>33.039608001700003</v>
      </c>
      <c r="T258" s="10">
        <v>57.380966186499997</v>
      </c>
      <c r="U258" s="10">
        <v>82.664093017599996</v>
      </c>
      <c r="V258" s="10">
        <v>40.902507782000001</v>
      </c>
      <c r="W258" s="10">
        <v>28.057731409999999</v>
      </c>
      <c r="X258" s="10">
        <v>-25.599045969999999</v>
      </c>
    </row>
    <row r="259" spans="1:24" x14ac:dyDescent="0.45">
      <c r="A259">
        <v>79900038</v>
      </c>
      <c r="B259" t="s">
        <v>29</v>
      </c>
      <c r="D259">
        <v>1</v>
      </c>
      <c r="E259" s="10">
        <v>0.67926050008162875</v>
      </c>
      <c r="F259" s="10">
        <v>5.2686492808837054E-2</v>
      </c>
      <c r="G259" s="10">
        <v>0.3296427165126537</v>
      </c>
      <c r="H259" s="10">
        <v>9.5860655830857025E-2</v>
      </c>
      <c r="I259" s="10">
        <v>0.10678502155866312</v>
      </c>
      <c r="J259" s="10">
        <v>5.3192005364417698E-2</v>
      </c>
      <c r="K259" s="10">
        <v>0.19219043137158659</v>
      </c>
      <c r="L259" s="10">
        <v>0.31341497546162544</v>
      </c>
      <c r="M259" s="10">
        <v>0.38776793127191739</v>
      </c>
      <c r="N259" s="10">
        <v>0.2878053001657383</v>
      </c>
      <c r="O259" s="10">
        <v>0.3734248017654665</v>
      </c>
      <c r="P259" s="10">
        <v>0.34060325216618692</v>
      </c>
      <c r="Q259" s="10">
        <v>21.7546113332</v>
      </c>
      <c r="R259" s="10">
        <v>43.7979240417</v>
      </c>
      <c r="S259" s="10">
        <v>29.821715037000001</v>
      </c>
      <c r="T259" s="10">
        <v>43.244880676299999</v>
      </c>
      <c r="U259" s="10">
        <v>66.082822163900005</v>
      </c>
      <c r="V259" s="10">
        <v>36.042271931999998</v>
      </c>
      <c r="W259" s="10">
        <v>28.336395490000001</v>
      </c>
      <c r="X259" s="10">
        <v>-25.71510889</v>
      </c>
    </row>
    <row r="260" spans="1:24" x14ac:dyDescent="0.45">
      <c r="A260">
        <v>79900039</v>
      </c>
      <c r="B260" t="s">
        <v>29</v>
      </c>
      <c r="D260">
        <v>1</v>
      </c>
      <c r="E260" s="10">
        <v>0.63259551378785484</v>
      </c>
      <c r="F260" s="10">
        <v>0.12594257462288616</v>
      </c>
      <c r="G260" s="10">
        <v>0.20130596876908902</v>
      </c>
      <c r="H260" s="10">
        <v>2.099078549504114E-3</v>
      </c>
      <c r="I260" s="10">
        <v>0.25936997919727056</v>
      </c>
      <c r="J260" s="10">
        <v>4.1190023684281943E-2</v>
      </c>
      <c r="K260" s="10">
        <v>0.38384563947595185</v>
      </c>
      <c r="L260" s="10">
        <v>0.41879423255790116</v>
      </c>
      <c r="M260" s="10">
        <v>0.63134950317315441</v>
      </c>
      <c r="N260" s="10">
        <v>0.44637738841109037</v>
      </c>
      <c r="O260" s="10">
        <v>0.5250441713776991</v>
      </c>
      <c r="P260" s="10">
        <v>0.50539132387996122</v>
      </c>
      <c r="Q260" s="10">
        <v>24.418263639700001</v>
      </c>
      <c r="R260" s="10">
        <v>47.539393969899997</v>
      </c>
      <c r="S260" s="10">
        <v>30.923842225800001</v>
      </c>
      <c r="T260" s="10">
        <v>51.133030482700001</v>
      </c>
      <c r="U260" s="10">
        <v>71.697987420199993</v>
      </c>
      <c r="V260" s="10">
        <v>36.402712685700003</v>
      </c>
      <c r="W260" s="10">
        <v>28.054348470000001</v>
      </c>
      <c r="X260" s="10">
        <v>-25.565417480000001</v>
      </c>
    </row>
    <row r="261" spans="1:24" x14ac:dyDescent="0.45">
      <c r="A261">
        <v>79900040</v>
      </c>
      <c r="B261" t="s">
        <v>29</v>
      </c>
      <c r="D261">
        <v>1</v>
      </c>
      <c r="E261" s="10">
        <v>0.54432138671675967</v>
      </c>
      <c r="F261" s="10">
        <v>0.30695957758033765</v>
      </c>
      <c r="G261" s="10">
        <v>0.36320747179164253</v>
      </c>
      <c r="H261" s="10">
        <v>2.9787845124414005E-3</v>
      </c>
      <c r="I261" s="10">
        <v>0.21543530118475065</v>
      </c>
      <c r="J261" s="10">
        <v>4.9390503395390424E-2</v>
      </c>
      <c r="K261" s="10">
        <v>0.17861206254751974</v>
      </c>
      <c r="L261" s="10">
        <v>0.32619217907668635</v>
      </c>
      <c r="M261" s="10">
        <v>0.42709604993156314</v>
      </c>
      <c r="N261" s="10">
        <v>0.27306530643053861</v>
      </c>
      <c r="O261" s="10">
        <v>0.45073545522938047</v>
      </c>
      <c r="P261" s="10">
        <v>0.36927224766704214</v>
      </c>
      <c r="Q261" s="10">
        <v>27.4692128499</v>
      </c>
      <c r="R261" s="10">
        <v>44.765976200899999</v>
      </c>
      <c r="S261" s="10">
        <v>30.306796654399999</v>
      </c>
      <c r="T261" s="10">
        <v>43.453631857200001</v>
      </c>
      <c r="U261" s="10">
        <v>68.510931927200005</v>
      </c>
      <c r="V261" s="10">
        <v>36.792545567399998</v>
      </c>
      <c r="W261" s="10">
        <v>28.396084309999999</v>
      </c>
      <c r="X261" s="10">
        <v>-25.732577769999999</v>
      </c>
    </row>
    <row r="262" spans="1:24" x14ac:dyDescent="0.45">
      <c r="A262">
        <v>79900041</v>
      </c>
      <c r="B262" t="s">
        <v>29</v>
      </c>
      <c r="D262">
        <v>1</v>
      </c>
      <c r="E262" s="10">
        <v>0.76725252594855631</v>
      </c>
      <c r="F262" s="10">
        <v>2.5133286381779977E-2</v>
      </c>
      <c r="G262" s="10">
        <v>0.36440676218666757</v>
      </c>
      <c r="H262" s="10">
        <v>5.9741567748838514E-2</v>
      </c>
      <c r="I262" s="10">
        <v>1.0285091366689572E-2</v>
      </c>
      <c r="J262" s="10">
        <v>2.3281834404017251E-2</v>
      </c>
      <c r="K262" s="10">
        <v>2.8231364289665151E-2</v>
      </c>
      <c r="L262" s="10">
        <v>0.69854608049890488</v>
      </c>
      <c r="M262" s="10">
        <v>0.69461422910048831</v>
      </c>
      <c r="N262" s="10">
        <v>0.72837729209186564</v>
      </c>
      <c r="O262" s="10">
        <v>0.71690733819241426</v>
      </c>
      <c r="P262" s="10">
        <v>0.70961123497091827</v>
      </c>
      <c r="Q262" s="10">
        <v>21.6836115519</v>
      </c>
      <c r="R262" s="10">
        <v>41.4811709174</v>
      </c>
      <c r="S262" s="10">
        <v>28.171257413700001</v>
      </c>
      <c r="T262" s="10">
        <v>40.585673102000001</v>
      </c>
      <c r="U262" s="10">
        <v>62.112778104599997</v>
      </c>
      <c r="V262" s="10">
        <v>35.054977022400003</v>
      </c>
      <c r="W262" s="10">
        <v>28.30779545</v>
      </c>
      <c r="X262" s="10">
        <v>-25.740581280000001</v>
      </c>
    </row>
    <row r="263" spans="1:24" x14ac:dyDescent="0.45">
      <c r="A263">
        <v>79900042</v>
      </c>
      <c r="B263" t="s">
        <v>29</v>
      </c>
      <c r="D263">
        <v>1</v>
      </c>
      <c r="E263" s="10">
        <v>0.74373476352528101</v>
      </c>
      <c r="F263" s="10">
        <v>3.8225558091261144E-2</v>
      </c>
      <c r="G263" s="10">
        <v>0.58294302457441027</v>
      </c>
      <c r="H263" s="10">
        <v>5.901467668950615E-3</v>
      </c>
      <c r="I263" s="10">
        <v>4.0505834436082291E-3</v>
      </c>
      <c r="J263" s="10">
        <v>1.0122980153842196E-2</v>
      </c>
      <c r="K263" s="10">
        <v>6.9312527492651779E-2</v>
      </c>
      <c r="L263" s="10">
        <v>0.86878349885462736</v>
      </c>
      <c r="M263" s="10">
        <v>0.69069805108082194</v>
      </c>
      <c r="N263" s="10">
        <v>0.78912197183870303</v>
      </c>
      <c r="O263" s="10">
        <v>0.85687597943171068</v>
      </c>
      <c r="P263" s="10">
        <v>0.80136987530146575</v>
      </c>
      <c r="Q263" s="10">
        <v>18.576234181699999</v>
      </c>
      <c r="R263" s="10">
        <v>42.544288697799999</v>
      </c>
      <c r="S263" s="10">
        <v>29.340572419699999</v>
      </c>
      <c r="T263" s="10">
        <v>42.434566247699998</v>
      </c>
      <c r="U263" s="10">
        <v>62.231503846199999</v>
      </c>
      <c r="V263" s="10">
        <v>36.170509463499997</v>
      </c>
      <c r="W263" s="10">
        <v>28.24231936</v>
      </c>
      <c r="X263" s="10">
        <v>-25.800208090000002</v>
      </c>
    </row>
    <row r="264" spans="1:24" x14ac:dyDescent="0.45">
      <c r="A264">
        <v>79900043</v>
      </c>
      <c r="B264" t="s">
        <v>29</v>
      </c>
      <c r="D264">
        <v>1</v>
      </c>
      <c r="E264" s="10">
        <v>0.50889864416169894</v>
      </c>
      <c r="F264" s="10">
        <v>2.2366560786657344E-2</v>
      </c>
      <c r="G264" s="10">
        <v>0.3327762272513124</v>
      </c>
      <c r="H264" s="10">
        <v>0.54366606041153132</v>
      </c>
      <c r="I264" s="10">
        <v>9.2194724626374555E-2</v>
      </c>
      <c r="J264" s="10">
        <v>2.0773432425193531E-2</v>
      </c>
      <c r="K264" s="10">
        <v>0.10291372351778101</v>
      </c>
      <c r="L264" s="10">
        <v>0.36221697148841558</v>
      </c>
      <c r="M264" s="10">
        <v>0.50610545919350092</v>
      </c>
      <c r="N264" s="10">
        <v>0.36119022882248997</v>
      </c>
      <c r="O264" s="10">
        <v>0.46267546556530509</v>
      </c>
      <c r="P264" s="10">
        <v>0.42304703126742788</v>
      </c>
      <c r="Q264" s="10">
        <v>22.128583908100001</v>
      </c>
      <c r="R264" s="10">
        <v>43.504737036599998</v>
      </c>
      <c r="S264" s="10">
        <v>29.559034392899999</v>
      </c>
      <c r="T264" s="10">
        <v>42.982088452299998</v>
      </c>
      <c r="U264" s="10">
        <v>65.253355480400003</v>
      </c>
      <c r="V264" s="10">
        <v>36.224471410100001</v>
      </c>
      <c r="W264" s="10">
        <v>28.315624159999999</v>
      </c>
      <c r="X264" s="10">
        <v>-25.718360100000002</v>
      </c>
    </row>
    <row r="265" spans="1:24" x14ac:dyDescent="0.45">
      <c r="A265">
        <v>79900044</v>
      </c>
      <c r="B265" t="s">
        <v>29</v>
      </c>
      <c r="D265">
        <v>1</v>
      </c>
      <c r="E265" s="10">
        <v>0.77708160456150832</v>
      </c>
      <c r="F265" s="10">
        <v>3.6691099211277556E-2</v>
      </c>
      <c r="G265" s="10">
        <v>0.46291360216810096</v>
      </c>
      <c r="H265" s="10">
        <v>5.0977872088782536E-4</v>
      </c>
      <c r="I265" s="10">
        <v>6.2264535546547282E-3</v>
      </c>
      <c r="J265" s="10">
        <v>1.9553058158966689E-2</v>
      </c>
      <c r="K265" s="10">
        <v>0.11778752116707131</v>
      </c>
      <c r="L265" s="10">
        <v>0.76204301824405918</v>
      </c>
      <c r="M265" s="10">
        <v>0.69542740454442931</v>
      </c>
      <c r="N265" s="10">
        <v>0.75410126806485533</v>
      </c>
      <c r="O265" s="10">
        <v>0.75153102313126841</v>
      </c>
      <c r="P265" s="10">
        <v>0.740775678496153</v>
      </c>
      <c r="Q265" s="10">
        <v>19.2857494354</v>
      </c>
      <c r="R265" s="10">
        <v>41.247287135000001</v>
      </c>
      <c r="S265" s="10">
        <v>28.124625421299999</v>
      </c>
      <c r="T265" s="10">
        <v>40.3658778283</v>
      </c>
      <c r="U265" s="10">
        <v>61.2690339858</v>
      </c>
      <c r="V265" s="10">
        <v>35.229613519499999</v>
      </c>
      <c r="W265" s="10">
        <v>28.304999500000001</v>
      </c>
      <c r="X265" s="10">
        <v>-25.784439989999999</v>
      </c>
    </row>
    <row r="266" spans="1:24" x14ac:dyDescent="0.45">
      <c r="A266">
        <v>79900045</v>
      </c>
      <c r="B266" t="s">
        <v>29</v>
      </c>
      <c r="D266">
        <v>1</v>
      </c>
      <c r="E266" s="10">
        <v>0.84597223874668137</v>
      </c>
      <c r="F266" s="10">
        <v>5.1437701536760458E-2</v>
      </c>
      <c r="G266" s="10">
        <v>0.49474906856848383</v>
      </c>
      <c r="H266" s="10">
        <v>0</v>
      </c>
      <c r="I266" s="10">
        <v>7.8912885935983994E-3</v>
      </c>
      <c r="J266" s="10">
        <v>1.8288610360892091E-2</v>
      </c>
      <c r="K266" s="10">
        <v>3.7128946219357362E-2</v>
      </c>
      <c r="L266" s="10">
        <v>0.81014239044111247</v>
      </c>
      <c r="M266" s="10">
        <v>0.7457568686576409</v>
      </c>
      <c r="N266" s="10">
        <v>0.77813771291607614</v>
      </c>
      <c r="O266" s="10">
        <v>0.78543825218394547</v>
      </c>
      <c r="P266" s="10">
        <v>0.77986880604969366</v>
      </c>
      <c r="Q266" s="10">
        <v>19.062799453699999</v>
      </c>
      <c r="R266" s="10">
        <v>41.373907906699998</v>
      </c>
      <c r="S266" s="10">
        <v>28.181742713599998</v>
      </c>
      <c r="T266" s="10">
        <v>40.645097641699998</v>
      </c>
      <c r="U266" s="10">
        <v>61.336442311600003</v>
      </c>
      <c r="V266" s="10">
        <v>35.332347324899999</v>
      </c>
      <c r="W266" s="10">
        <v>28.29648997</v>
      </c>
      <c r="X266" s="10">
        <v>-25.80293653</v>
      </c>
    </row>
    <row r="267" spans="1:24" x14ac:dyDescent="0.45">
      <c r="A267">
        <v>79900046</v>
      </c>
      <c r="B267" t="s">
        <v>29</v>
      </c>
      <c r="D267">
        <v>1</v>
      </c>
      <c r="E267" s="10">
        <v>0.54886738465495755</v>
      </c>
      <c r="F267" s="10">
        <v>3.7747570323786887E-2</v>
      </c>
      <c r="G267" s="10">
        <v>0.42650806857708523</v>
      </c>
      <c r="H267" s="10">
        <v>1.8931124419234852E-2</v>
      </c>
      <c r="I267" s="10">
        <v>1.7995894619839414E-3</v>
      </c>
      <c r="J267" s="10">
        <v>8.6627790645130934E-3</v>
      </c>
      <c r="K267" s="10">
        <v>4.6333409611643221E-2</v>
      </c>
      <c r="L267" s="10">
        <v>0.73294400004435012</v>
      </c>
      <c r="M267" s="10">
        <v>0.70223570129757507</v>
      </c>
      <c r="N267" s="10">
        <v>0.74111775398267798</v>
      </c>
      <c r="O267" s="10">
        <v>0.77877311791922488</v>
      </c>
      <c r="P267" s="10">
        <v>0.73876764331095701</v>
      </c>
      <c r="Q267" s="10">
        <v>19.683215713500001</v>
      </c>
      <c r="R267" s="10">
        <v>41.497962222399998</v>
      </c>
      <c r="S267" s="10">
        <v>28.314518311400001</v>
      </c>
      <c r="T267" s="10">
        <v>40.667071342500002</v>
      </c>
      <c r="U267" s="10">
        <v>61.573837897399997</v>
      </c>
      <c r="V267" s="10">
        <v>35.436425657800001</v>
      </c>
      <c r="W267" s="10">
        <v>28.28548533</v>
      </c>
      <c r="X267" s="10">
        <v>-25.765617290000002</v>
      </c>
    </row>
    <row r="268" spans="1:24" x14ac:dyDescent="0.45">
      <c r="A268">
        <v>79900047</v>
      </c>
      <c r="B268" t="s">
        <v>29</v>
      </c>
      <c r="D268">
        <v>1</v>
      </c>
      <c r="E268" s="10">
        <v>0.59439454312810158</v>
      </c>
      <c r="F268" s="10">
        <v>4.6600072340325698E-2</v>
      </c>
      <c r="G268" s="10">
        <v>0.63990250786875957</v>
      </c>
      <c r="H268" s="10">
        <v>3.7319517600665725E-3</v>
      </c>
      <c r="I268" s="10">
        <v>3.3559269289206981E-3</v>
      </c>
      <c r="J268" s="10">
        <v>1.487480501463229E-2</v>
      </c>
      <c r="K268" s="10">
        <v>4.4580968495355817E-2</v>
      </c>
      <c r="L268" s="10">
        <v>0.89316725083814597</v>
      </c>
      <c r="M268" s="10">
        <v>0.71948909093767166</v>
      </c>
      <c r="N268" s="10">
        <v>0.81704920330117947</v>
      </c>
      <c r="O268" s="10">
        <v>0.87544026578769052</v>
      </c>
      <c r="P268" s="10">
        <v>0.82628645271617196</v>
      </c>
      <c r="Q268" s="10">
        <v>18.690822601299999</v>
      </c>
      <c r="R268" s="10">
        <v>45.550549481399997</v>
      </c>
      <c r="S268" s="10">
        <v>31.3791627626</v>
      </c>
      <c r="T268" s="10">
        <v>45.523379660899998</v>
      </c>
      <c r="U268" s="10">
        <v>65.954668612099994</v>
      </c>
      <c r="V268" s="10">
        <v>39.344985755700002</v>
      </c>
      <c r="W268" s="10">
        <v>28.275619020000001</v>
      </c>
      <c r="X268" s="10">
        <v>-25.828520210000001</v>
      </c>
    </row>
    <row r="269" spans="1:24" x14ac:dyDescent="0.45">
      <c r="A269">
        <v>79900052</v>
      </c>
      <c r="B269" t="s">
        <v>29</v>
      </c>
      <c r="D269">
        <v>1</v>
      </c>
      <c r="E269" s="10">
        <v>0.80612348365968112</v>
      </c>
      <c r="F269" s="10">
        <v>2.7635095923683559E-2</v>
      </c>
      <c r="G269" s="10">
        <v>0.31926417838082977</v>
      </c>
      <c r="H269" s="10">
        <v>9.2060207549812256E-2</v>
      </c>
      <c r="I269" s="10">
        <v>4.936812561718457E-3</v>
      </c>
      <c r="J269" s="10">
        <v>1.8591158713248557E-2</v>
      </c>
      <c r="K269" s="10">
        <v>0.11378976306298189</v>
      </c>
      <c r="L269" s="10">
        <v>0.65881447107366242</v>
      </c>
      <c r="M269" s="10">
        <v>0.68370348279843596</v>
      </c>
      <c r="N269" s="10">
        <v>0.69460729512700958</v>
      </c>
      <c r="O269" s="10">
        <v>0.68604367496033092</v>
      </c>
      <c r="P269" s="10">
        <v>0.68079223098985975</v>
      </c>
      <c r="Q269" s="10">
        <v>21.925592422499999</v>
      </c>
      <c r="R269" s="10">
        <v>51.7423455522</v>
      </c>
      <c r="S269" s="10">
        <v>36.312948587800001</v>
      </c>
      <c r="T269" s="10">
        <v>51.990909988799999</v>
      </c>
      <c r="U269" s="10">
        <v>74.830559601700003</v>
      </c>
      <c r="V269" s="10">
        <v>43.834967432799999</v>
      </c>
      <c r="W269" s="10">
        <v>28.251041059999999</v>
      </c>
      <c r="X269" s="10">
        <v>-25.706749309999999</v>
      </c>
    </row>
    <row r="270" spans="1:24" x14ac:dyDescent="0.45">
      <c r="A270">
        <v>79900053</v>
      </c>
      <c r="B270" t="s">
        <v>29</v>
      </c>
      <c r="D270">
        <v>1</v>
      </c>
      <c r="E270" s="10">
        <v>0.63115491924864564</v>
      </c>
      <c r="F270" s="10">
        <v>2.1644549316320417E-2</v>
      </c>
      <c r="G270" s="10">
        <v>0.30150371190772041</v>
      </c>
      <c r="H270" s="10">
        <v>4.7505086332897463E-4</v>
      </c>
      <c r="I270" s="10">
        <v>8.396158803340048E-3</v>
      </c>
      <c r="J270" s="10">
        <v>2.0106428071734187E-2</v>
      </c>
      <c r="K270" s="10">
        <v>7.7472057691137242E-2</v>
      </c>
      <c r="L270" s="10">
        <v>0.67783737666456023</v>
      </c>
      <c r="M270" s="10">
        <v>0.73588837475780267</v>
      </c>
      <c r="N270" s="10">
        <v>0.67970893823457923</v>
      </c>
      <c r="O270" s="10">
        <v>0.74135456447328851</v>
      </c>
      <c r="P270" s="10">
        <v>0.7086973135325576</v>
      </c>
      <c r="Q270" s="10">
        <v>35.0879039764</v>
      </c>
      <c r="R270" s="10">
        <v>54.258579063399999</v>
      </c>
      <c r="S270" s="10">
        <v>39.070519256600001</v>
      </c>
      <c r="T270" s="10">
        <v>54.687555027000002</v>
      </c>
      <c r="U270" s="10">
        <v>76.9212787628</v>
      </c>
      <c r="V270" s="10">
        <v>46.354969883000003</v>
      </c>
      <c r="W270" s="10">
        <v>28.21739299</v>
      </c>
      <c r="X270" s="10">
        <v>-25.721041809999999</v>
      </c>
    </row>
    <row r="271" spans="1:24" x14ac:dyDescent="0.45">
      <c r="A271">
        <v>79900054</v>
      </c>
      <c r="B271" t="s">
        <v>29</v>
      </c>
      <c r="D271">
        <v>1</v>
      </c>
      <c r="E271" s="10">
        <v>0.53052718088063133</v>
      </c>
      <c r="F271" s="10">
        <v>1.7749968343452775E-2</v>
      </c>
      <c r="G271" s="10">
        <v>0.29864834631742759</v>
      </c>
      <c r="H271" s="10">
        <v>3.422136293200415E-3</v>
      </c>
      <c r="I271" s="10">
        <v>6.76643718032016E-3</v>
      </c>
      <c r="J271" s="10">
        <v>1.6836353575638209E-2</v>
      </c>
      <c r="K271" s="10">
        <v>7.0921672779020437E-2</v>
      </c>
      <c r="L271" s="10">
        <v>0.6854561533725988</v>
      </c>
      <c r="M271" s="10">
        <v>0.79257722892752092</v>
      </c>
      <c r="N271" s="10">
        <v>0.73413939926678851</v>
      </c>
      <c r="O271" s="10">
        <v>0.77820926272440594</v>
      </c>
      <c r="P271" s="10">
        <v>0.74759551107282851</v>
      </c>
      <c r="Q271" s="10">
        <v>27.012313206999998</v>
      </c>
      <c r="R271" s="10">
        <v>58.470634460399999</v>
      </c>
      <c r="S271" s="10">
        <v>41.571739196800003</v>
      </c>
      <c r="T271" s="10">
        <v>59.337093353299998</v>
      </c>
      <c r="U271" s="10">
        <v>83.530097961400003</v>
      </c>
      <c r="V271" s="10">
        <v>49.443611144999998</v>
      </c>
      <c r="W271" s="10">
        <v>28.212644399999999</v>
      </c>
      <c r="X271" s="10">
        <v>-25.70024153</v>
      </c>
    </row>
    <row r="272" spans="1:24" x14ac:dyDescent="0.45">
      <c r="A272">
        <v>79900055</v>
      </c>
      <c r="B272" t="s">
        <v>29</v>
      </c>
      <c r="D272">
        <v>1</v>
      </c>
      <c r="E272" s="10">
        <v>0.36912697774139686</v>
      </c>
      <c r="F272" s="10">
        <v>5.6371253777813234E-2</v>
      </c>
      <c r="G272" s="10">
        <v>0.33607891145352903</v>
      </c>
      <c r="H272" s="10">
        <v>5.492149810215527E-2</v>
      </c>
      <c r="I272" s="10">
        <v>3.1427534691268778E-2</v>
      </c>
      <c r="J272" s="10">
        <v>6.2974893766074604E-3</v>
      </c>
      <c r="K272" s="10">
        <v>4.7402880666751891E-2</v>
      </c>
      <c r="L272" s="10">
        <v>0.52695296191418073</v>
      </c>
      <c r="M272" s="10">
        <v>0.78156281950054174</v>
      </c>
      <c r="N272" s="10">
        <v>0.51465890039160356</v>
      </c>
      <c r="O272" s="10">
        <v>0.75670742231053623</v>
      </c>
      <c r="P272" s="10">
        <v>0.64497052602921556</v>
      </c>
      <c r="Q272" s="10">
        <v>42.934712001299999</v>
      </c>
      <c r="R272" s="10">
        <v>67.757675170900001</v>
      </c>
      <c r="S272" s="10">
        <v>50.069259643599999</v>
      </c>
      <c r="T272" s="10">
        <v>70.175529479999994</v>
      </c>
      <c r="U272" s="10">
        <v>94.434112548800002</v>
      </c>
      <c r="V272" s="10">
        <v>56.351806640600003</v>
      </c>
      <c r="W272" s="10">
        <v>28.11956417</v>
      </c>
      <c r="X272" s="10">
        <v>-25.710416670000001</v>
      </c>
    </row>
    <row r="273" spans="1:24" x14ac:dyDescent="0.45">
      <c r="A273">
        <v>79900056</v>
      </c>
      <c r="B273" t="s">
        <v>29</v>
      </c>
      <c r="D273">
        <v>1</v>
      </c>
      <c r="E273" s="10">
        <v>0.52499651868554709</v>
      </c>
      <c r="F273" s="10">
        <v>1.9947869093184373E-2</v>
      </c>
      <c r="G273" s="10">
        <v>0.4257735624556479</v>
      </c>
      <c r="H273" s="10">
        <v>0</v>
      </c>
      <c r="I273" s="10">
        <v>2.1724320558415178E-3</v>
      </c>
      <c r="J273" s="10">
        <v>1.8560143962181981E-2</v>
      </c>
      <c r="K273" s="10">
        <v>8.0911216768568675E-2</v>
      </c>
      <c r="L273" s="10">
        <v>0.76448881148949921</v>
      </c>
      <c r="M273" s="10">
        <v>0.69655094971263387</v>
      </c>
      <c r="N273" s="10">
        <v>0.74080713745638893</v>
      </c>
      <c r="O273" s="10">
        <v>0.78047567004556584</v>
      </c>
      <c r="P273" s="10">
        <v>0.74558064217602193</v>
      </c>
      <c r="Q273" s="10">
        <v>21.4973125458</v>
      </c>
      <c r="R273" s="10">
        <v>46.146150059199996</v>
      </c>
      <c r="S273" s="10">
        <v>32.609429094500001</v>
      </c>
      <c r="T273" s="10">
        <v>45.690777672700001</v>
      </c>
      <c r="U273" s="10">
        <v>66.393451902600006</v>
      </c>
      <c r="V273" s="10">
        <v>39.890946918099999</v>
      </c>
      <c r="W273" s="10">
        <v>28.234673269999998</v>
      </c>
      <c r="X273" s="10">
        <v>-25.755920960000001</v>
      </c>
    </row>
    <row r="274" spans="1:24" x14ac:dyDescent="0.45">
      <c r="A274">
        <v>79900057</v>
      </c>
      <c r="B274" t="s">
        <v>29</v>
      </c>
      <c r="D274">
        <v>1</v>
      </c>
      <c r="E274" s="10">
        <v>0.65883798712530472</v>
      </c>
      <c r="F274" s="10">
        <v>3.0006413585678921E-2</v>
      </c>
      <c r="G274" s="10">
        <v>0.53795803190455715</v>
      </c>
      <c r="H274" s="10">
        <v>2.3676369889464879E-3</v>
      </c>
      <c r="I274" s="10">
        <v>1.4498190794679134E-2</v>
      </c>
      <c r="J274" s="10">
        <v>2.2415828086798619E-2</v>
      </c>
      <c r="K274" s="10">
        <v>5.7682817210379538E-2</v>
      </c>
      <c r="L274" s="10">
        <v>0.63455451341462998</v>
      </c>
      <c r="M274" s="10">
        <v>0.52017842343321885</v>
      </c>
      <c r="N274" s="10">
        <v>0.65017110330673333</v>
      </c>
      <c r="O274" s="10">
        <v>0.68192277254408873</v>
      </c>
      <c r="P274" s="10">
        <v>0.6217067031746677</v>
      </c>
      <c r="Q274" s="10">
        <v>21.4409036636</v>
      </c>
      <c r="R274" s="10">
        <v>45.413233218000002</v>
      </c>
      <c r="S274" s="10">
        <v>32.723696377000003</v>
      </c>
      <c r="T274" s="10">
        <v>46.589119206299998</v>
      </c>
      <c r="U274" s="10">
        <v>63.573976931399997</v>
      </c>
      <c r="V274" s="10">
        <v>38.7661388231</v>
      </c>
      <c r="W274" s="10">
        <v>28.19472172</v>
      </c>
      <c r="X274" s="10">
        <v>-25.841107010000002</v>
      </c>
    </row>
    <row r="275" spans="1:24" x14ac:dyDescent="0.45">
      <c r="A275">
        <v>79900058</v>
      </c>
      <c r="B275" t="s">
        <v>29</v>
      </c>
      <c r="D275">
        <v>1</v>
      </c>
      <c r="E275" s="10">
        <v>0.44314013698377458</v>
      </c>
      <c r="F275" s="10">
        <v>1.0721576490509336E-2</v>
      </c>
      <c r="G275" s="10">
        <v>0.33115256294055095</v>
      </c>
      <c r="H275" s="10">
        <v>4.7292386475890319E-2</v>
      </c>
      <c r="I275" s="10">
        <v>9.0332007607125606E-3</v>
      </c>
      <c r="J275" s="10">
        <v>1.917079286261231E-2</v>
      </c>
      <c r="K275" s="10">
        <v>1.5438095559865559E-2</v>
      </c>
      <c r="L275" s="10">
        <v>0.5357190047008058</v>
      </c>
      <c r="M275" s="10">
        <v>0.6518887694147828</v>
      </c>
      <c r="N275" s="10">
        <v>0.5432941089005604</v>
      </c>
      <c r="O275" s="10">
        <v>0.69717907206699525</v>
      </c>
      <c r="P275" s="10">
        <v>0.60702023877078604</v>
      </c>
      <c r="Q275" s="10">
        <v>34.032584190400001</v>
      </c>
      <c r="R275" s="10">
        <v>57.702779488499999</v>
      </c>
      <c r="S275" s="10">
        <v>43.686552516699997</v>
      </c>
      <c r="T275" s="10">
        <v>58.933759845700003</v>
      </c>
      <c r="U275" s="10">
        <v>78.644179047099996</v>
      </c>
      <c r="V275" s="10">
        <v>49.546630108899997</v>
      </c>
      <c r="W275" s="10">
        <v>28.173721390000001</v>
      </c>
      <c r="X275" s="10">
        <v>-25.736587220000001</v>
      </c>
    </row>
    <row r="276" spans="1:24" x14ac:dyDescent="0.45">
      <c r="A276">
        <v>79900060</v>
      </c>
      <c r="B276" t="s">
        <v>29</v>
      </c>
      <c r="D276">
        <v>1</v>
      </c>
      <c r="E276" s="10">
        <v>0.40621772349556257</v>
      </c>
      <c r="F276" s="10">
        <v>2.8558444790943691E-2</v>
      </c>
      <c r="G276" s="10">
        <v>0.37754542502852123</v>
      </c>
      <c r="H276" s="10">
        <v>0.3062718599554663</v>
      </c>
      <c r="I276" s="10">
        <v>0.11779727243421165</v>
      </c>
      <c r="J276" s="10">
        <v>2.4161126042791945E-2</v>
      </c>
      <c r="K276" s="10">
        <v>1.9520474675923105E-2</v>
      </c>
      <c r="L276" s="10">
        <v>0.51061990536979807</v>
      </c>
      <c r="M276" s="10">
        <v>0.5718228280787937</v>
      </c>
      <c r="N276" s="10">
        <v>0.42877067302068356</v>
      </c>
      <c r="O276" s="10">
        <v>0.61310355621576773</v>
      </c>
      <c r="P276" s="10">
        <v>0.53107924067126078</v>
      </c>
      <c r="Q276" s="10">
        <v>35.363728046399999</v>
      </c>
      <c r="R276" s="10">
        <v>53.838567972200003</v>
      </c>
      <c r="S276" s="10">
        <v>40.778866450000002</v>
      </c>
      <c r="T276" s="10">
        <v>54.955236434900002</v>
      </c>
      <c r="U276" s="10">
        <v>73.242148399399994</v>
      </c>
      <c r="V276" s="10">
        <v>46.378023544900003</v>
      </c>
      <c r="W276" s="10">
        <v>28.167691300000001</v>
      </c>
      <c r="X276" s="10">
        <v>-25.756896399999999</v>
      </c>
    </row>
    <row r="277" spans="1:24" x14ac:dyDescent="0.45">
      <c r="A277">
        <v>79900062</v>
      </c>
      <c r="B277" t="s">
        <v>29</v>
      </c>
      <c r="D277">
        <v>1</v>
      </c>
      <c r="E277" s="10">
        <v>0.74325646001625945</v>
      </c>
      <c r="F277" s="10">
        <v>5.8468458002543609E-3</v>
      </c>
      <c r="G277" s="10">
        <v>0.48960031135427029</v>
      </c>
      <c r="H277" s="10">
        <v>0</v>
      </c>
      <c r="I277" s="10">
        <v>0.12309114594908448</v>
      </c>
      <c r="J277" s="10">
        <v>7.6415388063853174E-2</v>
      </c>
      <c r="K277" s="10">
        <v>8.3729067558849124E-2</v>
      </c>
      <c r="L277" s="10">
        <v>0.32106938860393597</v>
      </c>
      <c r="M277" s="10">
        <v>0.29738492720968462</v>
      </c>
      <c r="N277" s="10">
        <v>0.23481501827961396</v>
      </c>
      <c r="O277" s="10">
        <v>0.36289990649379872</v>
      </c>
      <c r="P277" s="10">
        <v>0.30404231014675831</v>
      </c>
      <c r="Q277" s="10">
        <v>28.221881442600001</v>
      </c>
      <c r="R277" s="10">
        <v>56.609972212000002</v>
      </c>
      <c r="S277" s="10">
        <v>46.020377265100002</v>
      </c>
      <c r="T277" s="10">
        <v>58.969334920199998</v>
      </c>
      <c r="U277" s="10">
        <v>71.322161356600006</v>
      </c>
      <c r="V277" s="10">
        <v>50.128018697100003</v>
      </c>
      <c r="W277" s="10">
        <v>28.074224449999999</v>
      </c>
      <c r="X277" s="10">
        <v>-25.77389994</v>
      </c>
    </row>
    <row r="278" spans="1:24" x14ac:dyDescent="0.45">
      <c r="A278">
        <v>79900063</v>
      </c>
      <c r="B278" t="s">
        <v>29</v>
      </c>
      <c r="D278">
        <v>1</v>
      </c>
      <c r="E278" s="10">
        <v>0.80898186747040846</v>
      </c>
      <c r="F278" s="10">
        <v>9.7133155387110884E-2</v>
      </c>
      <c r="G278" s="10">
        <v>0.4521031268584203</v>
      </c>
      <c r="H278" s="10">
        <v>2.7234568434792567E-2</v>
      </c>
      <c r="I278" s="10">
        <v>0.193754277901659</v>
      </c>
      <c r="J278" s="10">
        <v>8.2401091105483146E-2</v>
      </c>
      <c r="K278" s="10">
        <v>1.9178912068577209E-2</v>
      </c>
      <c r="L278" s="10">
        <v>0.33153144378154192</v>
      </c>
      <c r="M278" s="10">
        <v>0.3594666921775036</v>
      </c>
      <c r="N278" s="10">
        <v>0.2972372885494286</v>
      </c>
      <c r="O278" s="10">
        <v>0.41433972971493499</v>
      </c>
      <c r="P278" s="10">
        <v>0.35064378855585226</v>
      </c>
      <c r="Q278" s="10">
        <v>27.952613830600001</v>
      </c>
      <c r="R278" s="10">
        <v>57.740006923700001</v>
      </c>
      <c r="S278" s="10">
        <v>47.626668930100003</v>
      </c>
      <c r="T278" s="10">
        <v>60.427625179300001</v>
      </c>
      <c r="U278" s="10">
        <v>71.692633628799996</v>
      </c>
      <c r="V278" s="10">
        <v>51.213104724899999</v>
      </c>
      <c r="W278" s="10">
        <v>28.059434029999998</v>
      </c>
      <c r="X278" s="10">
        <v>-25.76822696</v>
      </c>
    </row>
    <row r="279" spans="1:24" x14ac:dyDescent="0.45">
      <c r="A279">
        <v>79900064</v>
      </c>
      <c r="B279" t="s">
        <v>29</v>
      </c>
      <c r="D279">
        <v>1</v>
      </c>
      <c r="E279" s="10">
        <v>0.79191730768604052</v>
      </c>
      <c r="F279" s="10">
        <v>2.3444907627610201E-2</v>
      </c>
      <c r="G279" s="10">
        <v>0.56901224992468769</v>
      </c>
      <c r="H279" s="10">
        <v>2.4878211316621867E-3</v>
      </c>
      <c r="I279" s="10">
        <v>4.8562093609141313E-3</v>
      </c>
      <c r="J279" s="10">
        <v>2.3086997320726631E-2</v>
      </c>
      <c r="K279" s="10">
        <v>5.3378993590719979E-2</v>
      </c>
      <c r="L279" s="10">
        <v>0.6766473775420222</v>
      </c>
      <c r="M279" s="10">
        <v>0.43255525715480142</v>
      </c>
      <c r="N279" s="10">
        <v>0.64592024910871726</v>
      </c>
      <c r="O279" s="10">
        <v>0.73254550972942289</v>
      </c>
      <c r="P279" s="10">
        <v>0.62191709838374098</v>
      </c>
      <c r="Q279" s="10">
        <v>22.413539886500001</v>
      </c>
      <c r="R279" s="10">
        <v>47.1647681496</v>
      </c>
      <c r="S279" s="10">
        <v>36.190747625199997</v>
      </c>
      <c r="T279" s="10">
        <v>50.160274228200002</v>
      </c>
      <c r="U279" s="10">
        <v>62.556950586500001</v>
      </c>
      <c r="V279" s="10">
        <v>39.751100297400001</v>
      </c>
      <c r="W279" s="10">
        <v>28.13841983</v>
      </c>
      <c r="X279" s="10">
        <v>-25.892859550000001</v>
      </c>
    </row>
    <row r="280" spans="1:24" x14ac:dyDescent="0.45">
      <c r="A280">
        <v>79900065</v>
      </c>
      <c r="B280" t="s">
        <v>29</v>
      </c>
      <c r="D280">
        <v>1</v>
      </c>
      <c r="E280" s="10">
        <v>8.9683156385695684E-2</v>
      </c>
      <c r="F280" s="10">
        <v>6.3878798571461282E-2</v>
      </c>
      <c r="G280" s="10">
        <v>0.56342762903511989</v>
      </c>
      <c r="H280" s="10">
        <v>7.5383764499446877E-3</v>
      </c>
      <c r="I280" s="10">
        <v>9.2350214317800886E-3</v>
      </c>
      <c r="J280" s="10">
        <v>1.9307288636136383E-3</v>
      </c>
      <c r="K280" s="10">
        <v>9.598268229512387E-2</v>
      </c>
      <c r="L280" s="10">
        <v>0.68360089724357442</v>
      </c>
      <c r="M280" s="10">
        <v>0.76193782505337126</v>
      </c>
      <c r="N280" s="10">
        <v>0.69742937661400639</v>
      </c>
      <c r="O280" s="10">
        <v>0.90868207938238776</v>
      </c>
      <c r="P280" s="10">
        <v>0.76291254457333491</v>
      </c>
      <c r="Q280" s="10">
        <v>27.686860518</v>
      </c>
      <c r="R280" s="10">
        <v>49.1340446472</v>
      </c>
      <c r="S280" s="10">
        <v>35.352870941200003</v>
      </c>
      <c r="T280" s="10">
        <v>50.2024497986</v>
      </c>
      <c r="U280" s="10">
        <v>68.550979614300005</v>
      </c>
      <c r="V280" s="10">
        <v>42.429882049600003</v>
      </c>
      <c r="W280" s="10">
        <v>28.22860944</v>
      </c>
      <c r="X280" s="10">
        <v>-25.890620989999999</v>
      </c>
    </row>
    <row r="281" spans="1:24" x14ac:dyDescent="0.45">
      <c r="A281">
        <v>79900066</v>
      </c>
      <c r="B281" t="s">
        <v>29</v>
      </c>
      <c r="D281">
        <v>1</v>
      </c>
      <c r="E281" s="10">
        <v>0.1417638408085653</v>
      </c>
      <c r="F281" s="10">
        <v>4.6164771328677121E-2</v>
      </c>
      <c r="G281" s="10">
        <v>0.51615579528049182</v>
      </c>
      <c r="H281" s="10">
        <v>4.8901895102823119E-2</v>
      </c>
      <c r="I281" s="10">
        <v>1.5990037668156109E-2</v>
      </c>
      <c r="J281" s="10">
        <v>3.009594492949103E-3</v>
      </c>
      <c r="K281" s="10">
        <v>4.8905026900201119E-2</v>
      </c>
      <c r="L281" s="10">
        <v>0.66107247990385098</v>
      </c>
      <c r="M281" s="10">
        <v>0.59561203284063768</v>
      </c>
      <c r="N281" s="10">
        <v>0.63318160387640099</v>
      </c>
      <c r="O281" s="10">
        <v>0.8161087187698105</v>
      </c>
      <c r="P281" s="10">
        <v>0.67649370884767501</v>
      </c>
      <c r="Q281" s="10">
        <v>22.952897177800001</v>
      </c>
      <c r="R281" s="10">
        <v>44.856681823700001</v>
      </c>
      <c r="S281" s="10">
        <v>32.504505157499999</v>
      </c>
      <c r="T281" s="10">
        <v>45.950183868400003</v>
      </c>
      <c r="U281" s="10">
        <v>62.643184661900001</v>
      </c>
      <c r="V281" s="10">
        <v>38.328849792500002</v>
      </c>
      <c r="W281" s="10">
        <v>28.1614243</v>
      </c>
      <c r="X281" s="10">
        <v>-25.810048980000001</v>
      </c>
    </row>
    <row r="282" spans="1:24" x14ac:dyDescent="0.45">
      <c r="A282">
        <v>79900067</v>
      </c>
      <c r="B282" t="s">
        <v>29</v>
      </c>
      <c r="D282">
        <v>1</v>
      </c>
      <c r="E282" s="10">
        <v>0.40361930872847368</v>
      </c>
      <c r="F282" s="10">
        <v>6.0711628849259708E-2</v>
      </c>
      <c r="G282" s="10">
        <v>0.37804771878075966</v>
      </c>
      <c r="H282" s="10">
        <v>1.0986510318218251E-3</v>
      </c>
      <c r="I282" s="10">
        <v>0.14220848467636168</v>
      </c>
      <c r="J282" s="10">
        <v>5.2099254215065761E-2</v>
      </c>
      <c r="K282" s="10">
        <v>0.18529076134649394</v>
      </c>
      <c r="L282" s="10">
        <v>0.44629647094419234</v>
      </c>
      <c r="M282" s="10">
        <v>0.57532949965271452</v>
      </c>
      <c r="N282" s="10">
        <v>0.41552518130080118</v>
      </c>
      <c r="O282" s="10">
        <v>0.59583082072816651</v>
      </c>
      <c r="P282" s="10">
        <v>0.50824549315646861</v>
      </c>
      <c r="Q282" s="10">
        <v>20.368140538500001</v>
      </c>
      <c r="R282" s="10">
        <v>44.855866114299999</v>
      </c>
      <c r="S282" s="10">
        <v>30.508815288499999</v>
      </c>
      <c r="T282" s="10">
        <v>44.511786778800001</v>
      </c>
      <c r="U282" s="10">
        <v>67.717408498099999</v>
      </c>
      <c r="V282" s="10">
        <v>36.685453097</v>
      </c>
      <c r="W282" s="10">
        <v>28.33417545</v>
      </c>
      <c r="X282" s="10">
        <v>-25.702316979999999</v>
      </c>
    </row>
    <row r="283" spans="1:24" x14ac:dyDescent="0.45">
      <c r="A283">
        <v>79900068</v>
      </c>
      <c r="B283" t="s">
        <v>29</v>
      </c>
      <c r="D283">
        <v>1</v>
      </c>
      <c r="E283" s="10">
        <v>0.86073845874592492</v>
      </c>
      <c r="F283" s="10">
        <v>1.1707352281380576E-2</v>
      </c>
      <c r="G283" s="10">
        <v>0.44333060650035211</v>
      </c>
      <c r="H283" s="10">
        <v>3.0937091387106997E-4</v>
      </c>
      <c r="I283" s="10">
        <v>0.1119635904635784</v>
      </c>
      <c r="J283" s="10">
        <v>0.10650847800919488</v>
      </c>
      <c r="K283" s="10">
        <v>6.3896886166886255E-2</v>
      </c>
      <c r="L283" s="10">
        <v>0.24400077584718471</v>
      </c>
      <c r="M283" s="10">
        <v>0.23698428142888681</v>
      </c>
      <c r="N283" s="10">
        <v>0.18316398733493688</v>
      </c>
      <c r="O283" s="10">
        <v>0.26305251692479359</v>
      </c>
      <c r="P283" s="10">
        <v>0.23180039038395051</v>
      </c>
      <c r="Q283" s="10">
        <v>26.109942522899999</v>
      </c>
      <c r="R283" s="10">
        <v>55.836220481200002</v>
      </c>
      <c r="S283" s="10">
        <v>45.728160164599998</v>
      </c>
      <c r="T283" s="10">
        <v>58.4835593484</v>
      </c>
      <c r="U283" s="10">
        <v>69.566979148200005</v>
      </c>
      <c r="V283" s="10">
        <v>49.566186384700003</v>
      </c>
      <c r="W283" s="10">
        <v>28.047999340000001</v>
      </c>
      <c r="X283" s="10">
        <v>-25.777570740000002</v>
      </c>
    </row>
    <row r="284" spans="1:24" x14ac:dyDescent="0.45">
      <c r="A284">
        <v>79900069</v>
      </c>
      <c r="B284" t="s">
        <v>29</v>
      </c>
      <c r="D284">
        <v>1</v>
      </c>
      <c r="E284" s="10">
        <v>0.7726076008339724</v>
      </c>
      <c r="F284" s="10">
        <v>3.0992746749101314E-2</v>
      </c>
      <c r="G284" s="10">
        <v>0.53130713878402325</v>
      </c>
      <c r="H284" s="10">
        <v>8.2709365947625766E-4</v>
      </c>
      <c r="I284" s="10">
        <v>7.3245887550694166E-3</v>
      </c>
      <c r="J284" s="10">
        <v>2.1880293813231928E-2</v>
      </c>
      <c r="K284" s="10">
        <v>4.4095920784414287E-2</v>
      </c>
      <c r="L284" s="10">
        <v>0.7344315766113626</v>
      </c>
      <c r="M284" s="10">
        <v>0.50622606045137375</v>
      </c>
      <c r="N284" s="10">
        <v>0.74617796673468784</v>
      </c>
      <c r="O284" s="10">
        <v>0.75850942164527491</v>
      </c>
      <c r="P284" s="10">
        <v>0.68633625636067475</v>
      </c>
      <c r="Q284" s="10">
        <v>23.354515711499999</v>
      </c>
      <c r="R284" s="10">
        <v>45.596777989300001</v>
      </c>
      <c r="S284" s="10">
        <v>33.915050311000002</v>
      </c>
      <c r="T284" s="10">
        <v>47.621835170600001</v>
      </c>
      <c r="U284" s="10">
        <v>62.017402942399997</v>
      </c>
      <c r="V284" s="10">
        <v>38.832819327300001</v>
      </c>
      <c r="W284" s="10">
        <v>28.153776100000002</v>
      </c>
      <c r="X284" s="10">
        <v>-25.859493189999998</v>
      </c>
    </row>
    <row r="285" spans="1:24" x14ac:dyDescent="0.45">
      <c r="A285">
        <v>79900070</v>
      </c>
      <c r="B285" t="s">
        <v>29</v>
      </c>
      <c r="D285">
        <v>1</v>
      </c>
      <c r="E285" s="10">
        <v>0.58437936692138037</v>
      </c>
      <c r="F285" s="10">
        <v>3.1029591389035365E-2</v>
      </c>
      <c r="G285" s="10">
        <v>0.48917869093046179</v>
      </c>
      <c r="H285" s="10">
        <v>3.1605919056748283E-2</v>
      </c>
      <c r="I285" s="10">
        <v>7.5435690264421427E-3</v>
      </c>
      <c r="J285" s="10">
        <v>7.498662188434934E-3</v>
      </c>
      <c r="K285" s="10">
        <v>6.4990488113557607E-2</v>
      </c>
      <c r="L285" s="10">
        <v>0.6342627399567039</v>
      </c>
      <c r="M285" s="10">
        <v>0.62013123207147469</v>
      </c>
      <c r="N285" s="10">
        <v>0.66866456525413132</v>
      </c>
      <c r="O285" s="10">
        <v>0.78233829836110924</v>
      </c>
      <c r="P285" s="10">
        <v>0.67634920891085482</v>
      </c>
      <c r="Q285" s="10">
        <v>24.3839950562</v>
      </c>
      <c r="R285" s="10">
        <v>45.2767181396</v>
      </c>
      <c r="S285" s="10">
        <v>33.438144683799997</v>
      </c>
      <c r="T285" s="10">
        <v>47.238197326700003</v>
      </c>
      <c r="U285" s="10">
        <v>61.918231964100002</v>
      </c>
      <c r="V285" s="10">
        <v>38.512290954599997</v>
      </c>
      <c r="W285" s="10">
        <v>28.118664710000001</v>
      </c>
      <c r="X285" s="10">
        <v>-25.856933659999999</v>
      </c>
    </row>
    <row r="286" spans="1:24" x14ac:dyDescent="0.45">
      <c r="A286">
        <v>79900071</v>
      </c>
      <c r="B286" t="s">
        <v>29</v>
      </c>
      <c r="D286">
        <v>1</v>
      </c>
      <c r="E286" s="10">
        <v>0.72394992320638962</v>
      </c>
      <c r="F286" s="10">
        <v>0.10651491624586039</v>
      </c>
      <c r="G286" s="10">
        <v>0.48897235684361673</v>
      </c>
      <c r="H286" s="10">
        <v>0</v>
      </c>
      <c r="I286" s="10">
        <v>0.47842904948810849</v>
      </c>
      <c r="J286" s="10">
        <v>0.17831714032000012</v>
      </c>
      <c r="K286" s="10">
        <v>0.1509263930082495</v>
      </c>
      <c r="L286" s="10">
        <v>0.43367320166639128</v>
      </c>
      <c r="M286" s="10">
        <v>0.46279246512588273</v>
      </c>
      <c r="N286" s="10">
        <v>0.37769518276191477</v>
      </c>
      <c r="O286" s="10">
        <v>0.53273341069881019</v>
      </c>
      <c r="P286" s="10">
        <v>0.45172356506324973</v>
      </c>
      <c r="Q286" s="10">
        <v>26.348463058499998</v>
      </c>
      <c r="R286" s="10">
        <v>53.769724527999998</v>
      </c>
      <c r="S286" s="10">
        <v>43.352905909199997</v>
      </c>
      <c r="T286" s="10">
        <v>56.182766596500002</v>
      </c>
      <c r="U286" s="10">
        <v>67.824347178099998</v>
      </c>
      <c r="V286" s="10">
        <v>47.718879063899998</v>
      </c>
      <c r="W286" s="10">
        <v>28.04742023</v>
      </c>
      <c r="X286" s="10">
        <v>-25.789068369999999</v>
      </c>
    </row>
    <row r="287" spans="1:24" x14ac:dyDescent="0.45">
      <c r="A287">
        <v>79900072</v>
      </c>
      <c r="B287" t="s">
        <v>29</v>
      </c>
      <c r="D287">
        <v>1</v>
      </c>
      <c r="E287" s="10">
        <v>0.75618883657105196</v>
      </c>
      <c r="F287" s="10">
        <v>0.10383448436871129</v>
      </c>
      <c r="G287" s="10">
        <v>0.50994567230621279</v>
      </c>
      <c r="H287" s="10">
        <v>4.1672416099905354E-4</v>
      </c>
      <c r="I287" s="10">
        <v>0.15164942190155661</v>
      </c>
      <c r="J287" s="10">
        <v>0.10886451272537737</v>
      </c>
      <c r="K287" s="10">
        <v>0.1322998408397307</v>
      </c>
      <c r="L287" s="10">
        <v>0.36313118536401118</v>
      </c>
      <c r="M287" s="10">
        <v>0.38531638798066858</v>
      </c>
      <c r="N287" s="10">
        <v>0.2936932159472167</v>
      </c>
      <c r="O287" s="10">
        <v>0.43865447189683876</v>
      </c>
      <c r="P287" s="10">
        <v>0.37019881529718385</v>
      </c>
      <c r="Q287" s="10">
        <v>25.513319015499999</v>
      </c>
      <c r="R287" s="10">
        <v>54.984714031199999</v>
      </c>
      <c r="S287" s="10">
        <v>44.451997757000001</v>
      </c>
      <c r="T287" s="10">
        <v>57.339812755600001</v>
      </c>
      <c r="U287" s="10">
        <v>69.417004585300006</v>
      </c>
      <c r="V287" s="10">
        <v>48.7300424576</v>
      </c>
      <c r="W287" s="10">
        <v>28.062873700000001</v>
      </c>
      <c r="X287" s="10">
        <v>-25.78218055</v>
      </c>
    </row>
    <row r="288" spans="1:24" x14ac:dyDescent="0.45">
      <c r="A288">
        <v>79900074</v>
      </c>
      <c r="B288" t="s">
        <v>29</v>
      </c>
      <c r="D288">
        <v>1</v>
      </c>
      <c r="E288" s="10">
        <v>0.42581730909455495</v>
      </c>
      <c r="F288" s="10">
        <v>5.4523907303169104E-2</v>
      </c>
      <c r="G288" s="10">
        <v>2.9100732947100996E-3</v>
      </c>
      <c r="H288" s="10">
        <v>2.7217920987404942E-2</v>
      </c>
      <c r="I288" s="10">
        <v>0.13223883005477902</v>
      </c>
      <c r="J288" s="10">
        <v>1.6283011623750062E-2</v>
      </c>
      <c r="K288" s="10">
        <v>0.10832983592956798</v>
      </c>
      <c r="L288" s="10">
        <v>0.629328645640437</v>
      </c>
      <c r="M288" s="10">
        <v>0.71323063260635577</v>
      </c>
      <c r="N288" s="10">
        <v>0.63240464164521315</v>
      </c>
      <c r="O288" s="10">
        <v>0.67879994941552146</v>
      </c>
      <c r="P288" s="10">
        <v>0.66344096732688185</v>
      </c>
      <c r="Q288" s="10">
        <v>21.9423535665</v>
      </c>
      <c r="R288" s="10">
        <v>33.1076278687</v>
      </c>
      <c r="S288" s="10">
        <v>20.732522964499999</v>
      </c>
      <c r="T288" s="10">
        <v>33.351528167700003</v>
      </c>
      <c r="U288" s="10">
        <v>52.204555511499997</v>
      </c>
      <c r="V288" s="10">
        <v>26.141912460299999</v>
      </c>
      <c r="W288" s="10">
        <v>28.269165950000001</v>
      </c>
      <c r="X288" s="10">
        <v>-25.387875810000001</v>
      </c>
    </row>
    <row r="289" spans="1:24" x14ac:dyDescent="0.45">
      <c r="A289">
        <v>79900075</v>
      </c>
      <c r="B289" t="s">
        <v>29</v>
      </c>
      <c r="D289">
        <v>1</v>
      </c>
      <c r="E289" s="10">
        <v>0.59557059311598382</v>
      </c>
      <c r="F289" s="10">
        <v>5.745615378361061E-2</v>
      </c>
      <c r="G289" s="10">
        <v>1.4286321492629945E-3</v>
      </c>
      <c r="H289" s="10">
        <v>0.19861674811837057</v>
      </c>
      <c r="I289" s="10">
        <v>0.14712616795281017</v>
      </c>
      <c r="J289" s="10">
        <v>2.1552308235260772E-2</v>
      </c>
      <c r="K289" s="10">
        <v>0.19098131492155185</v>
      </c>
      <c r="L289" s="10">
        <v>0.51887799434376125</v>
      </c>
      <c r="M289" s="10">
        <v>0.56574714444562579</v>
      </c>
      <c r="N289" s="10">
        <v>0.45724123039725201</v>
      </c>
      <c r="O289" s="10">
        <v>0.53013919998778458</v>
      </c>
      <c r="P289" s="10">
        <v>0.51800139229360587</v>
      </c>
      <c r="Q289" s="10">
        <v>26.7739539146</v>
      </c>
      <c r="R289" s="10">
        <v>34.549190272499999</v>
      </c>
      <c r="S289" s="10">
        <v>22.199353218100001</v>
      </c>
      <c r="T289" s="10">
        <v>35.1580121414</v>
      </c>
      <c r="U289" s="10">
        <v>53.344388049599999</v>
      </c>
      <c r="V289" s="10">
        <v>27.495008468599998</v>
      </c>
      <c r="W289" s="10">
        <v>28.257196059999998</v>
      </c>
      <c r="X289" s="10">
        <v>-25.368419750000001</v>
      </c>
    </row>
    <row r="290" spans="1:24" x14ac:dyDescent="0.45">
      <c r="A290">
        <v>79900076</v>
      </c>
      <c r="B290" t="s">
        <v>29</v>
      </c>
      <c r="D290">
        <v>1</v>
      </c>
      <c r="E290" s="10">
        <v>0.17800569207143546</v>
      </c>
      <c r="F290" s="10">
        <v>0.21005152634170429</v>
      </c>
      <c r="G290" s="10">
        <v>0</v>
      </c>
      <c r="H290" s="10">
        <v>0</v>
      </c>
      <c r="I290" s="10">
        <v>6.5447737608835516E-2</v>
      </c>
      <c r="J290" s="10">
        <v>5.2752359016879124E-3</v>
      </c>
      <c r="K290" s="10">
        <v>0.54123095246475916</v>
      </c>
      <c r="L290" s="10">
        <v>0.71864651742368124</v>
      </c>
      <c r="M290" s="10">
        <v>0.82507782564364918</v>
      </c>
      <c r="N290" s="10">
        <v>0.59166739052290962</v>
      </c>
      <c r="O290" s="10">
        <v>0.82368265087012704</v>
      </c>
      <c r="P290" s="10">
        <v>0.73976859611509171</v>
      </c>
      <c r="Q290" s="10">
        <v>21.8816799164</v>
      </c>
      <c r="R290" s="10">
        <v>33.696399688699998</v>
      </c>
      <c r="S290" s="10">
        <v>21.4238529205</v>
      </c>
      <c r="T290" s="10">
        <v>34.460399627699999</v>
      </c>
      <c r="U290" s="10">
        <v>52.1327400208</v>
      </c>
      <c r="V290" s="10">
        <v>26.768610000599999</v>
      </c>
      <c r="W290" s="10">
        <v>28.210077330000001</v>
      </c>
      <c r="X290" s="10">
        <v>-25.352660669999999</v>
      </c>
    </row>
    <row r="291" spans="1:24" x14ac:dyDescent="0.45">
      <c r="A291">
        <v>79900077</v>
      </c>
      <c r="B291" t="s">
        <v>29</v>
      </c>
      <c r="D291">
        <v>1</v>
      </c>
      <c r="E291" s="10">
        <v>0.48191999664130797</v>
      </c>
      <c r="F291" s="10">
        <v>1.5468397952388545E-2</v>
      </c>
      <c r="G291" s="10">
        <v>0.58901271532762445</v>
      </c>
      <c r="H291" s="10">
        <v>7.4984306252422611E-2</v>
      </c>
      <c r="I291" s="10">
        <v>0.54919347697597043</v>
      </c>
      <c r="J291" s="10">
        <v>2.323913909382757E-2</v>
      </c>
      <c r="K291" s="10">
        <v>6.0772245227365206E-2</v>
      </c>
      <c r="L291" s="10">
        <v>0.52779726944557437</v>
      </c>
      <c r="M291" s="10">
        <v>0.54513875784396504</v>
      </c>
      <c r="N291" s="10">
        <v>0.45146313151961898</v>
      </c>
      <c r="O291" s="10">
        <v>0.64419920462782776</v>
      </c>
      <c r="P291" s="10">
        <v>0.54214959085924652</v>
      </c>
      <c r="Q291" s="10">
        <v>23.027493794800002</v>
      </c>
      <c r="R291" s="10">
        <v>49.444736480700001</v>
      </c>
      <c r="S291" s="10">
        <v>39.499683380100002</v>
      </c>
      <c r="T291" s="10">
        <v>53.334762573200003</v>
      </c>
      <c r="U291" s="10">
        <v>63.886669158899998</v>
      </c>
      <c r="V291" s="10">
        <v>41.057834625200002</v>
      </c>
      <c r="W291" s="10">
        <v>28.10916654</v>
      </c>
      <c r="X291" s="10">
        <v>-25.911606859999999</v>
      </c>
    </row>
    <row r="292" spans="1:24" x14ac:dyDescent="0.45">
      <c r="A292">
        <v>79900078</v>
      </c>
      <c r="B292" t="s">
        <v>29</v>
      </c>
      <c r="D292">
        <v>1</v>
      </c>
      <c r="E292" s="10">
        <v>0.30394736125260546</v>
      </c>
      <c r="F292" s="10">
        <v>3.0306922852228708E-2</v>
      </c>
      <c r="G292" s="10">
        <v>0.57373716907488859</v>
      </c>
      <c r="H292" s="10">
        <v>0.20323147976309638</v>
      </c>
      <c r="I292" s="10">
        <v>5.1486410675897921E-3</v>
      </c>
      <c r="J292" s="10">
        <v>6.4721430984958448E-3</v>
      </c>
      <c r="K292" s="10">
        <v>4.0781126711537802E-2</v>
      </c>
      <c r="L292" s="10">
        <v>0.53458801772877718</v>
      </c>
      <c r="M292" s="10">
        <v>0.34922272710209062</v>
      </c>
      <c r="N292" s="10">
        <v>0.50932874107639869</v>
      </c>
      <c r="O292" s="10">
        <v>0.63616002190664311</v>
      </c>
      <c r="P292" s="10">
        <v>0.50732487695347739</v>
      </c>
      <c r="Q292" s="10">
        <v>24.0077065059</v>
      </c>
      <c r="R292" s="10">
        <v>47.782906532299997</v>
      </c>
      <c r="S292" s="10">
        <v>36.404067873999999</v>
      </c>
      <c r="T292" s="10">
        <v>50.423871835100002</v>
      </c>
      <c r="U292" s="10">
        <v>63.925071636799998</v>
      </c>
      <c r="V292" s="10">
        <v>40.378612955400001</v>
      </c>
      <c r="W292" s="10">
        <v>28.17409687</v>
      </c>
      <c r="X292" s="10">
        <v>-25.886623920000002</v>
      </c>
    </row>
    <row r="293" spans="1:24" x14ac:dyDescent="0.45">
      <c r="A293">
        <v>79900079</v>
      </c>
      <c r="B293" t="s">
        <v>29</v>
      </c>
      <c r="D293">
        <v>1</v>
      </c>
      <c r="E293" s="10">
        <v>0.32900684036560446</v>
      </c>
      <c r="F293" s="10">
        <v>4.4061407035307337E-2</v>
      </c>
      <c r="G293" s="10">
        <v>0.59512226323224915</v>
      </c>
      <c r="H293" s="10">
        <v>8.3925246042914778E-2</v>
      </c>
      <c r="I293" s="10">
        <v>5.1504094668442394E-3</v>
      </c>
      <c r="J293" s="10">
        <v>6.7915330930319075E-3</v>
      </c>
      <c r="K293" s="10">
        <v>3.6291774544221785E-2</v>
      </c>
      <c r="L293" s="10">
        <v>0.6119270413846245</v>
      </c>
      <c r="M293" s="10">
        <v>0.55188811648872804</v>
      </c>
      <c r="N293" s="10">
        <v>0.57102969090182731</v>
      </c>
      <c r="O293" s="10">
        <v>0.73068610993147787</v>
      </c>
      <c r="P293" s="10">
        <v>0.61638273967666446</v>
      </c>
      <c r="Q293" s="10">
        <v>20.305329561200001</v>
      </c>
      <c r="R293" s="10">
        <v>41.723442077599998</v>
      </c>
      <c r="S293" s="10">
        <v>28.632371902500001</v>
      </c>
      <c r="T293" s="10">
        <v>41.8545875549</v>
      </c>
      <c r="U293" s="10">
        <v>61.197265625</v>
      </c>
      <c r="V293" s="10">
        <v>35.209537506099998</v>
      </c>
      <c r="W293" s="10">
        <v>28.236176220000001</v>
      </c>
      <c r="X293" s="10">
        <v>-25.840800040000001</v>
      </c>
    </row>
    <row r="294" spans="1:24" x14ac:dyDescent="0.45">
      <c r="A294">
        <v>79900080</v>
      </c>
      <c r="B294" t="s">
        <v>29</v>
      </c>
      <c r="D294">
        <v>1</v>
      </c>
      <c r="E294" s="10">
        <v>0.49428042794143134</v>
      </c>
      <c r="F294" s="10">
        <v>1.1296832806052186E-3</v>
      </c>
      <c r="G294" s="10">
        <v>0.36778819328698026</v>
      </c>
      <c r="H294" s="10">
        <v>7.5430028966251061E-2</v>
      </c>
      <c r="I294" s="10">
        <v>2.0681863881059498E-3</v>
      </c>
      <c r="J294" s="10">
        <v>0.15103386379943479</v>
      </c>
      <c r="K294" s="10">
        <v>5.1162660092457296E-3</v>
      </c>
      <c r="L294" s="10">
        <v>0.44230465512738865</v>
      </c>
      <c r="M294" s="10">
        <v>0.49694713998989998</v>
      </c>
      <c r="N294" s="10">
        <v>0.44907609977604457</v>
      </c>
      <c r="O294" s="10">
        <v>0.49144643055666382</v>
      </c>
      <c r="P294" s="10">
        <v>0.46994358136249925</v>
      </c>
      <c r="Q294" s="10">
        <v>28.917485714000001</v>
      </c>
      <c r="R294" s="10">
        <v>50.585107326500001</v>
      </c>
      <c r="S294" s="10">
        <v>37.286693573000001</v>
      </c>
      <c r="T294" s="10">
        <v>50.979149341599999</v>
      </c>
      <c r="U294" s="10">
        <v>70.403050422700005</v>
      </c>
      <c r="V294" s="10">
        <v>43.671542167699997</v>
      </c>
      <c r="W294" s="10">
        <v>28.195877039999999</v>
      </c>
      <c r="X294" s="10">
        <v>-25.756648259999999</v>
      </c>
    </row>
    <row r="295" spans="1:24" x14ac:dyDescent="0.45">
      <c r="A295">
        <v>79900081</v>
      </c>
      <c r="B295" t="s">
        <v>29</v>
      </c>
      <c r="D295">
        <v>1</v>
      </c>
      <c r="E295" s="10">
        <v>0.63336414442378297</v>
      </c>
      <c r="F295" s="10">
        <v>5.2160074193306175E-4</v>
      </c>
      <c r="G295" s="10">
        <v>0.34239243283431159</v>
      </c>
      <c r="H295" s="10">
        <v>0</v>
      </c>
      <c r="I295" s="10">
        <v>7.4131542387867726E-4</v>
      </c>
      <c r="J295" s="10">
        <v>0.11397694047197648</v>
      </c>
      <c r="K295" s="10">
        <v>3.2027777172326031E-3</v>
      </c>
      <c r="L295" s="10">
        <v>0.25167252756421771</v>
      </c>
      <c r="M295" s="10">
        <v>0.30551353923802582</v>
      </c>
      <c r="N295" s="10">
        <v>0.21653851406733374</v>
      </c>
      <c r="O295" s="10">
        <v>0.28030874772575987</v>
      </c>
      <c r="P295" s="10">
        <v>0.26350833214883429</v>
      </c>
      <c r="Q295" s="10">
        <v>30.127886581399999</v>
      </c>
      <c r="R295" s="10">
        <v>51.117146301299996</v>
      </c>
      <c r="S295" s="10">
        <v>37.5660293579</v>
      </c>
      <c r="T295" s="10">
        <v>51.338937377900002</v>
      </c>
      <c r="U295" s="10">
        <v>71.357122802700005</v>
      </c>
      <c r="V295" s="10">
        <v>44.206501770000003</v>
      </c>
      <c r="W295" s="10">
        <v>28.20259574</v>
      </c>
      <c r="X295" s="10">
        <v>-25.748722919999999</v>
      </c>
    </row>
    <row r="296" spans="1:24" x14ac:dyDescent="0.45">
      <c r="A296">
        <v>79900082</v>
      </c>
      <c r="B296" t="s">
        <v>29</v>
      </c>
      <c r="D296">
        <v>1</v>
      </c>
      <c r="E296" s="10">
        <v>0.47198048907750256</v>
      </c>
      <c r="F296" s="10">
        <v>3.7164849190801319E-2</v>
      </c>
      <c r="G296" s="10">
        <v>0.44434763220964246</v>
      </c>
      <c r="H296" s="10">
        <v>1.782861051844804E-2</v>
      </c>
      <c r="I296" s="10">
        <v>4.02046711888214E-3</v>
      </c>
      <c r="J296" s="10">
        <v>1.0164677960088755E-2</v>
      </c>
      <c r="K296" s="10">
        <v>7.0560789269371121E-2</v>
      </c>
      <c r="L296" s="10">
        <v>0.86404932372179544</v>
      </c>
      <c r="M296" s="10">
        <v>0.77165552051551045</v>
      </c>
      <c r="N296" s="10">
        <v>0.86319712358450695</v>
      </c>
      <c r="O296" s="10">
        <v>0.88463869700002962</v>
      </c>
      <c r="P296" s="10">
        <v>0.84588516620546061</v>
      </c>
      <c r="Q296" s="10">
        <v>19.845656077099999</v>
      </c>
      <c r="R296" s="10">
        <v>40.531860351600002</v>
      </c>
      <c r="S296" s="10">
        <v>27.4459171295</v>
      </c>
      <c r="T296" s="10">
        <v>39.499786377</v>
      </c>
      <c r="U296" s="10">
        <v>60.559459686300002</v>
      </c>
      <c r="V296" s="10">
        <v>34.6222839355</v>
      </c>
      <c r="W296" s="10">
        <v>28.258924919999998</v>
      </c>
      <c r="X296" s="10">
        <v>-25.763798040000001</v>
      </c>
    </row>
    <row r="297" spans="1:24" x14ac:dyDescent="0.45">
      <c r="A297">
        <v>79900083</v>
      </c>
      <c r="B297" t="s">
        <v>29</v>
      </c>
      <c r="D297">
        <v>1</v>
      </c>
      <c r="E297" s="10">
        <v>0.5918183824885499</v>
      </c>
      <c r="F297" s="10">
        <v>3.1704969341120347E-2</v>
      </c>
      <c r="G297" s="10">
        <v>0.60239200406828919</v>
      </c>
      <c r="H297" s="10">
        <v>1.1631305195302056E-2</v>
      </c>
      <c r="I297" s="10">
        <v>2.415741590531378E-3</v>
      </c>
      <c r="J297" s="10">
        <v>1.3763161300245743E-2</v>
      </c>
      <c r="K297" s="10">
        <v>1.8809238304190349E-2</v>
      </c>
      <c r="L297" s="10">
        <v>0.8153179165043678</v>
      </c>
      <c r="M297" s="10">
        <v>0.68974383346128787</v>
      </c>
      <c r="N297" s="10">
        <v>0.73335752112735431</v>
      </c>
      <c r="O297" s="10">
        <v>0.83662249134367395</v>
      </c>
      <c r="P297" s="10">
        <v>0.76876044060917104</v>
      </c>
      <c r="Q297" s="10">
        <v>18.528375625599999</v>
      </c>
      <c r="R297" s="10">
        <v>40.971508026099997</v>
      </c>
      <c r="S297" s="10">
        <v>27.830406189000001</v>
      </c>
      <c r="T297" s="10">
        <v>40.263404846199997</v>
      </c>
      <c r="U297" s="10">
        <v>60.919193267799997</v>
      </c>
      <c r="V297" s="10">
        <v>34.873027801500001</v>
      </c>
      <c r="W297" s="10">
        <v>28.272178539999999</v>
      </c>
      <c r="X297" s="10">
        <v>-25.81167409</v>
      </c>
    </row>
    <row r="298" spans="1:24" x14ac:dyDescent="0.45">
      <c r="A298">
        <v>79900084</v>
      </c>
      <c r="B298" t="s">
        <v>29</v>
      </c>
      <c r="D298">
        <v>1</v>
      </c>
      <c r="E298" s="10">
        <v>0.60653273115376771</v>
      </c>
      <c r="F298" s="10">
        <v>1.9311567853541083E-2</v>
      </c>
      <c r="G298" s="10">
        <v>0.33539558510101103</v>
      </c>
      <c r="H298" s="10">
        <v>0.20152880087853076</v>
      </c>
      <c r="I298" s="10">
        <v>1.6548510700976325E-2</v>
      </c>
      <c r="J298" s="10">
        <v>1.4762421428555363E-2</v>
      </c>
      <c r="K298" s="10">
        <v>4.6031576852930203E-2</v>
      </c>
      <c r="L298" s="10">
        <v>0.5924743485071321</v>
      </c>
      <c r="M298" s="10">
        <v>0.66919301025084466</v>
      </c>
      <c r="N298" s="10">
        <v>0.59591998782114541</v>
      </c>
      <c r="O298" s="10">
        <v>0.6683156510228061</v>
      </c>
      <c r="P298" s="10">
        <v>0.63147574940048212</v>
      </c>
      <c r="Q298" s="10">
        <v>22.067712147999998</v>
      </c>
      <c r="R298" s="10">
        <v>46.2432811491</v>
      </c>
      <c r="S298" s="10">
        <v>31.9623081453</v>
      </c>
      <c r="T298" s="10">
        <v>45.925052519799998</v>
      </c>
      <c r="U298" s="10">
        <v>67.820712612500003</v>
      </c>
      <c r="V298" s="10">
        <v>39.265056610099997</v>
      </c>
      <c r="W298" s="10">
        <v>28.271376409999998</v>
      </c>
      <c r="X298" s="10">
        <v>-25.723551740000001</v>
      </c>
    </row>
    <row r="299" spans="1:24" x14ac:dyDescent="0.45">
      <c r="A299">
        <v>79900085</v>
      </c>
      <c r="B299" t="s">
        <v>29</v>
      </c>
      <c r="D299">
        <v>1</v>
      </c>
      <c r="E299" s="10">
        <v>0.65323209165119656</v>
      </c>
      <c r="F299" s="10">
        <v>2.4868389984175798E-2</v>
      </c>
      <c r="G299" s="10">
        <v>0.4413279302220286</v>
      </c>
      <c r="H299" s="10">
        <v>5.4671902181135422E-3</v>
      </c>
      <c r="I299" s="10">
        <v>5.2451274898621695E-3</v>
      </c>
      <c r="J299" s="10">
        <v>1.6811500376846578E-2</v>
      </c>
      <c r="K299" s="10">
        <v>4.0435110303831442E-2</v>
      </c>
      <c r="L299" s="10">
        <v>0.73623202484724182</v>
      </c>
      <c r="M299" s="10">
        <v>0.70549208940023911</v>
      </c>
      <c r="N299" s="10">
        <v>0.70542627878441655</v>
      </c>
      <c r="O299" s="10">
        <v>0.76449978511471739</v>
      </c>
      <c r="P299" s="10">
        <v>0.72791254453665377</v>
      </c>
      <c r="Q299" s="10">
        <v>19.726347446399998</v>
      </c>
      <c r="R299" s="10">
        <v>41.6760743277</v>
      </c>
      <c r="S299" s="10">
        <v>28.586547279400001</v>
      </c>
      <c r="T299" s="10">
        <v>40.632331521200001</v>
      </c>
      <c r="U299" s="10">
        <v>61.996365901399997</v>
      </c>
      <c r="V299" s="10">
        <v>35.489052963299997</v>
      </c>
      <c r="W299" s="10">
        <v>28.33177294</v>
      </c>
      <c r="X299" s="10">
        <v>-25.770392279999999</v>
      </c>
    </row>
    <row r="300" spans="1:24" x14ac:dyDescent="0.45">
      <c r="A300">
        <v>79900086</v>
      </c>
      <c r="B300" t="s">
        <v>29</v>
      </c>
      <c r="D300">
        <v>1</v>
      </c>
      <c r="E300" s="10">
        <v>0.29838414881185771</v>
      </c>
      <c r="F300" s="10">
        <v>9.9430804587487785E-3</v>
      </c>
      <c r="G300" s="10">
        <v>0.32805976163746375</v>
      </c>
      <c r="H300" s="10">
        <v>0.19184381224389147</v>
      </c>
      <c r="I300" s="10">
        <v>0.41630703097387084</v>
      </c>
      <c r="J300" s="10">
        <v>2.62271803801437E-2</v>
      </c>
      <c r="K300" s="10">
        <v>6.1485125442615474E-2</v>
      </c>
      <c r="L300" s="10">
        <v>0.35335588090353887</v>
      </c>
      <c r="M300" s="10">
        <v>0.56503164232265857</v>
      </c>
      <c r="N300" s="10">
        <v>0.35982349586626555</v>
      </c>
      <c r="O300" s="10">
        <v>0.58672603847828364</v>
      </c>
      <c r="P300" s="10">
        <v>0.46623426439268667</v>
      </c>
      <c r="Q300" s="10">
        <v>22.5986461639</v>
      </c>
      <c r="R300" s="10">
        <v>41.332027435299999</v>
      </c>
      <c r="S300" s="10">
        <v>28.330768585200001</v>
      </c>
      <c r="T300" s="10">
        <v>40.2367019653</v>
      </c>
      <c r="U300" s="10">
        <v>62.381080627400003</v>
      </c>
      <c r="V300" s="10">
        <v>34.379554748499999</v>
      </c>
      <c r="W300" s="10">
        <v>28.351186720000001</v>
      </c>
      <c r="X300" s="10">
        <v>-25.739466159999999</v>
      </c>
    </row>
    <row r="301" spans="1:24" x14ac:dyDescent="0.45">
      <c r="A301">
        <v>79900087</v>
      </c>
      <c r="B301" t="s">
        <v>29</v>
      </c>
      <c r="D301">
        <v>1</v>
      </c>
      <c r="E301" s="10">
        <v>0.4108522877607596</v>
      </c>
      <c r="F301" s="10">
        <v>0.26001050994164393</v>
      </c>
      <c r="G301" s="10">
        <v>0.24207094022837886</v>
      </c>
      <c r="H301" s="10">
        <v>1.7932123567764691E-2</v>
      </c>
      <c r="I301" s="10">
        <v>0.11100781649068403</v>
      </c>
      <c r="J301" s="10">
        <v>9.5289957323063071E-4</v>
      </c>
      <c r="K301" s="10">
        <v>5.9162650844465085E-2</v>
      </c>
      <c r="L301" s="10">
        <v>0.69210202351710848</v>
      </c>
      <c r="M301" s="10">
        <v>0.89973993607829916</v>
      </c>
      <c r="N301" s="10">
        <v>0.63129363840146735</v>
      </c>
      <c r="O301" s="10">
        <v>0.87284277964664181</v>
      </c>
      <c r="P301" s="10">
        <v>0.77399459441087926</v>
      </c>
      <c r="Q301" s="10">
        <v>19.690004348799999</v>
      </c>
      <c r="R301" s="10">
        <v>44.693391799899999</v>
      </c>
      <c r="S301" s="10">
        <v>29.343767166100001</v>
      </c>
      <c r="T301" s="10">
        <v>44.756336212199997</v>
      </c>
      <c r="U301" s="10">
        <v>69.2370491028</v>
      </c>
      <c r="V301" s="10">
        <v>35.436414718599998</v>
      </c>
      <c r="W301" s="10">
        <v>28.307091979999999</v>
      </c>
      <c r="X301" s="10">
        <v>-25.652245929999999</v>
      </c>
    </row>
    <row r="302" spans="1:24" x14ac:dyDescent="0.45">
      <c r="A302">
        <v>79900088</v>
      </c>
      <c r="B302" t="s">
        <v>29</v>
      </c>
      <c r="D302">
        <v>1</v>
      </c>
      <c r="E302" s="10">
        <v>0.79950914384465122</v>
      </c>
      <c r="F302" s="10">
        <v>0.12793933130483764</v>
      </c>
      <c r="G302" s="10">
        <v>0.16747966569949865</v>
      </c>
      <c r="H302" s="10">
        <v>3.6891199930030607E-3</v>
      </c>
      <c r="I302" s="10">
        <v>0.25916714065160912</v>
      </c>
      <c r="J302" s="10">
        <v>4.9017393618844975E-2</v>
      </c>
      <c r="K302" s="10">
        <v>0.30278450918589922</v>
      </c>
      <c r="L302" s="10">
        <v>0.39002268609703239</v>
      </c>
      <c r="M302" s="10">
        <v>0.40901637340856495</v>
      </c>
      <c r="N302" s="10">
        <v>0.33087064558328183</v>
      </c>
      <c r="O302" s="10">
        <v>0.398000002442706</v>
      </c>
      <c r="P302" s="10">
        <v>0.38197742688289632</v>
      </c>
      <c r="Q302" s="10">
        <v>20.015600476900001</v>
      </c>
      <c r="R302" s="10">
        <v>38.685129619800001</v>
      </c>
      <c r="S302" s="10">
        <v>24.275525955900001</v>
      </c>
      <c r="T302" s="10">
        <v>40.443781353200002</v>
      </c>
      <c r="U302" s="10">
        <v>61.346410660499998</v>
      </c>
      <c r="V302" s="10">
        <v>28.674801781100001</v>
      </c>
      <c r="W302" s="10">
        <v>28.1167753</v>
      </c>
      <c r="X302" s="10">
        <v>-25.488317139999999</v>
      </c>
    </row>
    <row r="303" spans="1:24" x14ac:dyDescent="0.45">
      <c r="A303">
        <v>79900089</v>
      </c>
      <c r="B303" t="s">
        <v>29</v>
      </c>
      <c r="D303">
        <v>1</v>
      </c>
      <c r="E303" s="10">
        <v>0.74610464708599022</v>
      </c>
      <c r="F303" s="10">
        <v>1.4707277477075313E-2</v>
      </c>
      <c r="G303" s="10">
        <v>0.26076428732955004</v>
      </c>
      <c r="H303" s="10">
        <v>4.3021428594687211E-3</v>
      </c>
      <c r="I303" s="10">
        <v>0.13760871529979149</v>
      </c>
      <c r="J303" s="10">
        <v>5.144583651792492E-2</v>
      </c>
      <c r="K303" s="10">
        <v>0.23383461136983971</v>
      </c>
      <c r="L303" s="10">
        <v>0.31995117410866425</v>
      </c>
      <c r="M303" s="10">
        <v>0.38699713251479112</v>
      </c>
      <c r="N303" s="10">
        <v>0.28056326813006943</v>
      </c>
      <c r="O303" s="10">
        <v>0.36399414212062747</v>
      </c>
      <c r="P303" s="10">
        <v>0.33787642921853805</v>
      </c>
      <c r="Q303" s="10">
        <v>21.508100509599998</v>
      </c>
      <c r="R303" s="10">
        <v>48.968565623000003</v>
      </c>
      <c r="S303" s="10">
        <v>30.956755320199999</v>
      </c>
      <c r="T303" s="10">
        <v>52.486495789999999</v>
      </c>
      <c r="U303" s="10">
        <v>75.115047636499995</v>
      </c>
      <c r="V303" s="10">
        <v>37.315959203799999</v>
      </c>
      <c r="W303" s="10">
        <v>28.075966860000001</v>
      </c>
      <c r="X303" s="10">
        <v>-25.56124629</v>
      </c>
    </row>
    <row r="304" spans="1:24" x14ac:dyDescent="0.45">
      <c r="A304">
        <v>79900090</v>
      </c>
      <c r="B304" t="s">
        <v>29</v>
      </c>
      <c r="D304">
        <v>1</v>
      </c>
      <c r="E304" s="10">
        <v>0.44722678144205397</v>
      </c>
      <c r="F304" s="10">
        <v>0.13146664140279607</v>
      </c>
      <c r="G304" s="10">
        <v>0.24474256788509213</v>
      </c>
      <c r="H304" s="10">
        <v>4.1097705465797489E-3</v>
      </c>
      <c r="I304" s="10">
        <v>8.6140502499334706E-2</v>
      </c>
      <c r="J304" s="10">
        <v>2.2580470093536555E-2</v>
      </c>
      <c r="K304" s="10">
        <v>9.8122231073444116E-2</v>
      </c>
      <c r="L304" s="10">
        <v>0.37215034608421255</v>
      </c>
      <c r="M304" s="10">
        <v>0.60511444643967616</v>
      </c>
      <c r="N304" s="10">
        <v>0.37567178729400297</v>
      </c>
      <c r="O304" s="10">
        <v>0.53312643553240568</v>
      </c>
      <c r="P304" s="10">
        <v>0.47151575383757433</v>
      </c>
      <c r="Q304" s="10">
        <v>27.2173404694</v>
      </c>
      <c r="R304" s="10">
        <v>56.889359089899997</v>
      </c>
      <c r="S304" s="10">
        <v>36.931506626599997</v>
      </c>
      <c r="T304" s="10">
        <v>61.035048641400003</v>
      </c>
      <c r="U304" s="10">
        <v>85.944643390699994</v>
      </c>
      <c r="V304" s="10">
        <v>43.646232206400001</v>
      </c>
      <c r="W304" s="10">
        <v>28.09710132</v>
      </c>
      <c r="X304" s="10">
        <v>-25.5890071</v>
      </c>
    </row>
    <row r="305" spans="1:24" x14ac:dyDescent="0.45">
      <c r="A305">
        <v>79900092</v>
      </c>
      <c r="B305" t="s">
        <v>29</v>
      </c>
      <c r="D305">
        <v>1</v>
      </c>
      <c r="E305" s="10">
        <v>0.47678982545105408</v>
      </c>
      <c r="F305" s="10">
        <v>6.4618867987153985E-3</v>
      </c>
      <c r="G305" s="10">
        <v>0.38887224220794081</v>
      </c>
      <c r="H305" s="10">
        <v>1.1756614205841514E-3</v>
      </c>
      <c r="I305" s="10">
        <v>6.5450250756715308E-4</v>
      </c>
      <c r="J305" s="10">
        <v>5.1343030776999428E-2</v>
      </c>
      <c r="K305" s="10">
        <v>2.2983512859044875E-2</v>
      </c>
      <c r="L305" s="10">
        <v>0.7064635277247675</v>
      </c>
      <c r="M305" s="10">
        <v>0.68505077018985838</v>
      </c>
      <c r="N305" s="10">
        <v>0.70414165061732714</v>
      </c>
      <c r="O305" s="10">
        <v>0.75217651876459701</v>
      </c>
      <c r="P305" s="10">
        <v>0.71195811682413745</v>
      </c>
      <c r="Q305" s="10">
        <v>26.946231842</v>
      </c>
      <c r="R305" s="10">
        <v>47.458457946800003</v>
      </c>
      <c r="S305" s="10">
        <v>33.876853942899999</v>
      </c>
      <c r="T305" s="10">
        <v>46.872287750200002</v>
      </c>
      <c r="U305" s="10">
        <v>67.743125915500002</v>
      </c>
      <c r="V305" s="10">
        <v>41.341571807900003</v>
      </c>
      <c r="W305" s="10">
        <v>28.21720505</v>
      </c>
      <c r="X305" s="10">
        <v>-25.74516904</v>
      </c>
    </row>
    <row r="306" spans="1:24" x14ac:dyDescent="0.45">
      <c r="A306">
        <v>79900093</v>
      </c>
      <c r="B306" t="s">
        <v>29</v>
      </c>
      <c r="D306">
        <v>1</v>
      </c>
      <c r="E306" s="10">
        <v>0.1731299699231309</v>
      </c>
      <c r="F306" s="10">
        <v>4.7404657641405452E-2</v>
      </c>
      <c r="G306" s="10">
        <v>0.33235615375478267</v>
      </c>
      <c r="H306" s="10">
        <v>3.8841212004389791E-3</v>
      </c>
      <c r="I306" s="10">
        <v>0.16455663668555587</v>
      </c>
      <c r="J306" s="10">
        <v>5.1983550507055578E-3</v>
      </c>
      <c r="K306" s="10">
        <v>6.9870838419306025E-2</v>
      </c>
      <c r="L306" s="10">
        <v>0.66196964918117229</v>
      </c>
      <c r="M306" s="10">
        <v>0.90899472140833248</v>
      </c>
      <c r="N306" s="10">
        <v>0.60817344172065024</v>
      </c>
      <c r="O306" s="10">
        <v>0.89726903537563663</v>
      </c>
      <c r="P306" s="10">
        <v>0.76910171192144794</v>
      </c>
      <c r="Q306" s="10">
        <v>20.574241320300001</v>
      </c>
      <c r="R306" s="10">
        <v>45.444618225100001</v>
      </c>
      <c r="S306" s="10">
        <v>30.9237327576</v>
      </c>
      <c r="T306" s="10">
        <v>45.094730377200001</v>
      </c>
      <c r="U306" s="10">
        <v>69.278732299799998</v>
      </c>
      <c r="V306" s="10">
        <v>36.481269836400003</v>
      </c>
      <c r="W306" s="10">
        <v>28.347596670000001</v>
      </c>
      <c r="X306" s="10">
        <v>-25.687948030000001</v>
      </c>
    </row>
    <row r="307" spans="1:24" x14ac:dyDescent="0.45">
      <c r="A307">
        <v>79900094</v>
      </c>
      <c r="B307" t="s">
        <v>29</v>
      </c>
      <c r="D307">
        <v>1</v>
      </c>
      <c r="E307" s="10">
        <v>0.75787481541158475</v>
      </c>
      <c r="F307" s="10">
        <v>9.6204957561298668E-3</v>
      </c>
      <c r="G307" s="10">
        <v>0.12472311685693234</v>
      </c>
      <c r="H307" s="10">
        <v>0</v>
      </c>
      <c r="I307" s="10">
        <v>5.8006847449918922E-2</v>
      </c>
      <c r="J307" s="10">
        <v>4.2941747531941868E-2</v>
      </c>
      <c r="K307" s="10">
        <v>0.41578492023228236</v>
      </c>
      <c r="L307" s="10">
        <v>0.37244688302700585</v>
      </c>
      <c r="M307" s="10">
        <v>0.3897917194465525</v>
      </c>
      <c r="N307" s="10">
        <v>0.31585954450257742</v>
      </c>
      <c r="O307" s="10">
        <v>0.36091510959752321</v>
      </c>
      <c r="P307" s="10">
        <v>0.35975331414341472</v>
      </c>
      <c r="Q307" s="10">
        <v>22.101249271</v>
      </c>
      <c r="R307" s="10">
        <v>38.012973997300001</v>
      </c>
      <c r="S307" s="10">
        <v>24.7666314443</v>
      </c>
      <c r="T307" s="10">
        <v>39.882329940799998</v>
      </c>
      <c r="U307" s="10">
        <v>58.815459569300003</v>
      </c>
      <c r="V307" s="10">
        <v>28.587479803299999</v>
      </c>
      <c r="W307" s="10">
        <v>28.09584083</v>
      </c>
      <c r="X307" s="10">
        <v>-25.466478439999999</v>
      </c>
    </row>
    <row r="308" spans="1:24" x14ac:dyDescent="0.45">
      <c r="A308">
        <v>79900095</v>
      </c>
      <c r="B308" t="s">
        <v>29</v>
      </c>
      <c r="D308">
        <v>1</v>
      </c>
      <c r="E308" s="10">
        <v>0.87245800617985769</v>
      </c>
      <c r="F308" s="10">
        <v>0.29645158242874581</v>
      </c>
      <c r="G308" s="10">
        <v>4.7925745268743179E-2</v>
      </c>
      <c r="H308" s="10">
        <v>1.834538265125173E-3</v>
      </c>
      <c r="I308" s="10">
        <v>8.9151087575035315E-2</v>
      </c>
      <c r="J308" s="10">
        <v>2.5630535292665211E-2</v>
      </c>
      <c r="K308" s="10">
        <v>0.89889703241919372</v>
      </c>
      <c r="L308" s="10">
        <v>0.54879264819798479</v>
      </c>
      <c r="M308" s="10">
        <v>0.61191935193713831</v>
      </c>
      <c r="N308" s="10">
        <v>0.49437743401788542</v>
      </c>
      <c r="O308" s="10">
        <v>0.60638429791568704</v>
      </c>
      <c r="P308" s="10">
        <v>0.56536843301717399</v>
      </c>
      <c r="Q308" s="10">
        <v>22.066595077500001</v>
      </c>
      <c r="R308" s="10">
        <v>35.315628051799997</v>
      </c>
      <c r="S308" s="10">
        <v>22.705915450999999</v>
      </c>
      <c r="T308" s="10">
        <v>36.794692993200002</v>
      </c>
      <c r="U308" s="10">
        <v>54.124233245799999</v>
      </c>
      <c r="V308" s="10">
        <v>27.637676239000001</v>
      </c>
      <c r="W308" s="10">
        <v>28.155427710000001</v>
      </c>
      <c r="X308" s="10">
        <v>-25.406907879999999</v>
      </c>
    </row>
    <row r="309" spans="1:24" x14ac:dyDescent="0.45">
      <c r="A309">
        <v>79900097</v>
      </c>
      <c r="B309" t="s">
        <v>29</v>
      </c>
      <c r="D309">
        <v>1</v>
      </c>
      <c r="E309" s="10">
        <v>0.94094820400178214</v>
      </c>
      <c r="F309" s="10">
        <v>6.6711012848685067E-2</v>
      </c>
      <c r="G309" s="10">
        <v>0.34347197189389372</v>
      </c>
      <c r="H309" s="10">
        <v>0</v>
      </c>
      <c r="I309" s="10">
        <v>0.33467472048557301</v>
      </c>
      <c r="J309" s="10">
        <v>0.12664650826158177</v>
      </c>
      <c r="K309" s="10">
        <v>0.26550552784702341</v>
      </c>
      <c r="L309" s="10">
        <v>0.37768864263090379</v>
      </c>
      <c r="M309" s="10">
        <v>0.40626129554750079</v>
      </c>
      <c r="N309" s="10">
        <v>0.3557887952548166</v>
      </c>
      <c r="O309" s="10">
        <v>0.4304293155977354</v>
      </c>
      <c r="P309" s="10">
        <v>0.39254201225773916</v>
      </c>
      <c r="Q309" s="10">
        <v>24.618558502199999</v>
      </c>
      <c r="R309" s="10">
        <v>45.046042633100001</v>
      </c>
      <c r="S309" s="10">
        <v>30.0632129669</v>
      </c>
      <c r="T309" s="10">
        <v>43.498819732699999</v>
      </c>
      <c r="U309" s="10">
        <v>70.072976684599993</v>
      </c>
      <c r="V309" s="10">
        <v>36.549164581299998</v>
      </c>
      <c r="W309" s="10">
        <v>28.424729339999999</v>
      </c>
      <c r="X309" s="10">
        <v>-25.720537709999999</v>
      </c>
    </row>
    <row r="310" spans="1:24" x14ac:dyDescent="0.45">
      <c r="A310">
        <v>79900098</v>
      </c>
      <c r="B310" t="s">
        <v>29</v>
      </c>
      <c r="D310">
        <v>1</v>
      </c>
      <c r="E310" s="10">
        <v>0.50064902980657866</v>
      </c>
      <c r="F310" s="10">
        <v>0.13730745543274731</v>
      </c>
      <c r="G310" s="10">
        <v>0.26433585433162343</v>
      </c>
      <c r="H310" s="10">
        <v>6.8163752040599601E-2</v>
      </c>
      <c r="I310" s="10">
        <v>4.4339867950112653E-2</v>
      </c>
      <c r="J310" s="10">
        <v>8.075657724799068E-3</v>
      </c>
      <c r="K310" s="10">
        <v>4.3782111593449954E-2</v>
      </c>
      <c r="L310" s="10">
        <v>0.6764273103051065</v>
      </c>
      <c r="M310" s="10">
        <v>0.89655976637288348</v>
      </c>
      <c r="N310" s="10">
        <v>0.647809833034104</v>
      </c>
      <c r="O310" s="10">
        <v>0.80851285784875904</v>
      </c>
      <c r="P310" s="10">
        <v>0.75732744189021328</v>
      </c>
      <c r="Q310" s="10">
        <v>34.0267977715</v>
      </c>
      <c r="R310" s="10">
        <v>57.772754669199998</v>
      </c>
      <c r="S310" s="10">
        <v>37.614158630399999</v>
      </c>
      <c r="T310" s="10">
        <v>61.813304901099997</v>
      </c>
      <c r="U310" s="10">
        <v>87.314437866199995</v>
      </c>
      <c r="V310" s="10">
        <v>44.349113464399998</v>
      </c>
      <c r="W310" s="10">
        <v>28.13446501</v>
      </c>
      <c r="X310" s="10">
        <v>-25.658038869999999</v>
      </c>
    </row>
    <row r="311" spans="1:24" x14ac:dyDescent="0.45">
      <c r="A311">
        <v>79800065</v>
      </c>
      <c r="B311" t="s">
        <v>38</v>
      </c>
      <c r="D311">
        <v>1</v>
      </c>
      <c r="E311" s="10">
        <v>0.66498608677554083</v>
      </c>
      <c r="F311" s="10">
        <v>0.10171113757944111</v>
      </c>
      <c r="G311" s="10">
        <v>0.88486332697795989</v>
      </c>
      <c r="H311" s="10">
        <v>0.99695522870893694</v>
      </c>
      <c r="I311" s="10">
        <v>4.5958933002922177E-2</v>
      </c>
      <c r="J311" s="10">
        <v>4.8338024044087935E-2</v>
      </c>
      <c r="K311" s="10">
        <v>1.0421498372206205E-3</v>
      </c>
      <c r="L311" s="10">
        <v>0.27919739180856129</v>
      </c>
      <c r="M311" s="10">
        <v>0.35107810781051307</v>
      </c>
      <c r="N311" s="10">
        <v>0.30840257981422187</v>
      </c>
      <c r="O311" s="10">
        <v>0.36699189768803775</v>
      </c>
      <c r="P311" s="10">
        <v>0.32641749428033351</v>
      </c>
      <c r="Q311" s="10">
        <v>24.140938758899999</v>
      </c>
      <c r="R311" s="10">
        <v>48.037065332600001</v>
      </c>
      <c r="S311" s="10">
        <v>45.235597610500001</v>
      </c>
      <c r="T311" s="10">
        <v>45.734091498600002</v>
      </c>
      <c r="U311" s="10">
        <v>54.613439213100001</v>
      </c>
      <c r="V311" s="10">
        <v>46.565134741999998</v>
      </c>
      <c r="W311" s="10">
        <v>28.092236960000001</v>
      </c>
      <c r="X311" s="10">
        <v>-26.20787047</v>
      </c>
    </row>
    <row r="312" spans="1:24" x14ac:dyDescent="0.45">
      <c r="A312">
        <v>79800066</v>
      </c>
      <c r="B312" t="s">
        <v>38</v>
      </c>
      <c r="D312">
        <v>1</v>
      </c>
      <c r="E312" s="10">
        <v>0.76442747549378398</v>
      </c>
      <c r="F312" s="10">
        <v>2.1369325933775347E-2</v>
      </c>
      <c r="G312" s="10">
        <v>0.90895107678115505</v>
      </c>
      <c r="H312" s="10">
        <v>3.5029595554150791E-2</v>
      </c>
      <c r="I312" s="10">
        <v>1.4595373889454729E-2</v>
      </c>
      <c r="J312" s="10">
        <v>4.9569571905482744E-2</v>
      </c>
      <c r="K312" s="10">
        <v>7.4330187553877927E-3</v>
      </c>
      <c r="L312" s="10">
        <v>0.67718235474490174</v>
      </c>
      <c r="M312" s="10">
        <v>0.68618765624757838</v>
      </c>
      <c r="N312" s="10">
        <v>0.69620580858732628</v>
      </c>
      <c r="O312" s="10">
        <v>0.70180741080228748</v>
      </c>
      <c r="P312" s="10">
        <v>0.69034580759552344</v>
      </c>
      <c r="Q312" s="10">
        <v>21.792446136500001</v>
      </c>
      <c r="R312" s="10">
        <v>45.021962377800001</v>
      </c>
      <c r="S312" s="10">
        <v>40.888873736100003</v>
      </c>
      <c r="T312" s="10">
        <v>44.032018131699999</v>
      </c>
      <c r="U312" s="10">
        <v>52.861517800199998</v>
      </c>
      <c r="V312" s="10">
        <v>42.305441220600002</v>
      </c>
      <c r="W312" s="10">
        <v>28.081571820000001</v>
      </c>
      <c r="X312" s="10">
        <v>-26.187874690000001</v>
      </c>
    </row>
    <row r="313" spans="1:24" x14ac:dyDescent="0.45">
      <c r="A313">
        <v>79800067</v>
      </c>
      <c r="B313" t="s">
        <v>38</v>
      </c>
      <c r="D313">
        <v>1</v>
      </c>
      <c r="E313" s="10">
        <v>0.54101439794412587</v>
      </c>
      <c r="F313" s="10">
        <v>1.305451780868195E-3</v>
      </c>
      <c r="G313" s="10">
        <v>0.95518721298363207</v>
      </c>
      <c r="H313" s="10">
        <v>7.1413559090661273E-3</v>
      </c>
      <c r="I313" s="10">
        <v>2.7550801798321891E-3</v>
      </c>
      <c r="J313" s="10">
        <v>4.394106644072196E-2</v>
      </c>
      <c r="K313" s="10">
        <v>6.4511621137534883E-3</v>
      </c>
      <c r="L313" s="10">
        <v>0.68444730625997585</v>
      </c>
      <c r="M313" s="10">
        <v>0.67649667560619908</v>
      </c>
      <c r="N313" s="10">
        <v>0.69454679330666425</v>
      </c>
      <c r="O313" s="10">
        <v>0.67839116740427774</v>
      </c>
      <c r="P313" s="10">
        <v>0.68347048564427926</v>
      </c>
      <c r="Q313" s="10">
        <v>22.011919021600001</v>
      </c>
      <c r="R313" s="10">
        <v>41.981814193699996</v>
      </c>
      <c r="S313" s="10">
        <v>36.921370887800002</v>
      </c>
      <c r="T313" s="10">
        <v>41.077252769499999</v>
      </c>
      <c r="U313" s="10">
        <v>50.645656967199997</v>
      </c>
      <c r="V313" s="10">
        <v>39.282980155899999</v>
      </c>
      <c r="W313" s="10">
        <v>28.051323539999999</v>
      </c>
      <c r="X313" s="10">
        <v>-26.178317069999999</v>
      </c>
    </row>
    <row r="314" spans="1:24" x14ac:dyDescent="0.45">
      <c r="A314">
        <v>79800068</v>
      </c>
      <c r="B314" t="s">
        <v>38</v>
      </c>
      <c r="D314">
        <v>1</v>
      </c>
      <c r="E314" s="10">
        <v>0.23673764691610277</v>
      </c>
      <c r="F314" s="10">
        <v>5.7776340084785771E-2</v>
      </c>
      <c r="G314" s="10">
        <v>0.85878233997334052</v>
      </c>
      <c r="H314" s="10">
        <v>0.43133547330907185</v>
      </c>
      <c r="I314" s="10">
        <v>7.0483634362759229E-2</v>
      </c>
      <c r="J314" s="10">
        <v>1.569569832427534E-2</v>
      </c>
      <c r="K314" s="10">
        <v>1.5621278842927969E-2</v>
      </c>
      <c r="L314" s="10">
        <v>0.41210636987514027</v>
      </c>
      <c r="M314" s="10">
        <v>0.37868663578899942</v>
      </c>
      <c r="N314" s="10">
        <v>0.36551913948854631</v>
      </c>
      <c r="O314" s="10">
        <v>0.51023801804626046</v>
      </c>
      <c r="P314" s="10">
        <v>0.41663754079973664</v>
      </c>
      <c r="Q314" s="10">
        <v>26.6925182343</v>
      </c>
      <c r="R314" s="10">
        <v>43.534929732199998</v>
      </c>
      <c r="S314" s="10">
        <v>37.549916495700003</v>
      </c>
      <c r="T314" s="10">
        <v>38.747896113899998</v>
      </c>
      <c r="U314" s="10">
        <v>53.643190464500002</v>
      </c>
      <c r="V314" s="10">
        <v>44.198714404</v>
      </c>
      <c r="W314" s="10">
        <v>27.974732750000001</v>
      </c>
      <c r="X314" s="10">
        <v>-26.213523729999999</v>
      </c>
    </row>
    <row r="315" spans="1:24" x14ac:dyDescent="0.45">
      <c r="A315">
        <v>79800069</v>
      </c>
      <c r="B315" t="s">
        <v>38</v>
      </c>
      <c r="D315">
        <v>1</v>
      </c>
      <c r="E315" s="10">
        <v>0.74364712627710472</v>
      </c>
      <c r="F315" s="10">
        <v>2.819748196574335E-2</v>
      </c>
      <c r="G315" s="10">
        <v>0.91695038965924647</v>
      </c>
      <c r="H315" s="10">
        <v>1.529567170422963E-2</v>
      </c>
      <c r="I315" s="10">
        <v>2.4520894395108392E-2</v>
      </c>
      <c r="J315" s="10">
        <v>4.1163395406455694E-2</v>
      </c>
      <c r="K315" s="10">
        <v>1.4610892272047782E-2</v>
      </c>
      <c r="L315" s="10">
        <v>0.55940413671696843</v>
      </c>
      <c r="M315" s="10">
        <v>0.48843623872125436</v>
      </c>
      <c r="N315" s="10">
        <v>0.5791537486972832</v>
      </c>
      <c r="O315" s="10">
        <v>0.5673008679801631</v>
      </c>
      <c r="P315" s="10">
        <v>0.54857374802891734</v>
      </c>
      <c r="Q315" s="10">
        <v>22.288816451999999</v>
      </c>
      <c r="R315" s="10">
        <v>41.371216681699998</v>
      </c>
      <c r="S315" s="10">
        <v>35.496053757200002</v>
      </c>
      <c r="T315" s="10">
        <v>38.123013650200001</v>
      </c>
      <c r="U315" s="10">
        <v>50.944853628799997</v>
      </c>
      <c r="V315" s="10">
        <v>40.920945321399998</v>
      </c>
      <c r="W315" s="10">
        <v>27.993615500000001</v>
      </c>
      <c r="X315" s="10">
        <v>-26.185617690000001</v>
      </c>
    </row>
    <row r="316" spans="1:24" x14ac:dyDescent="0.45">
      <c r="A316">
        <v>79800070</v>
      </c>
      <c r="B316" t="s">
        <v>38</v>
      </c>
      <c r="D316">
        <v>1</v>
      </c>
      <c r="E316" s="10">
        <v>0.2439754818046975</v>
      </c>
      <c r="F316" s="10">
        <v>0.1853321111033111</v>
      </c>
      <c r="G316" s="10">
        <v>0.86886547045325146</v>
      </c>
      <c r="H316" s="10">
        <v>0.18920386114162188</v>
      </c>
      <c r="I316" s="10">
        <v>7.9692093851185912E-3</v>
      </c>
      <c r="J316" s="10">
        <v>6.1196525584408601E-3</v>
      </c>
      <c r="K316" s="10">
        <v>2.6068840980625996E-2</v>
      </c>
      <c r="L316" s="10">
        <v>0.49919894234518536</v>
      </c>
      <c r="M316" s="10">
        <v>0.62448775147895708</v>
      </c>
      <c r="N316" s="10">
        <v>0.49320284129825198</v>
      </c>
      <c r="O316" s="10">
        <v>0.61437023985177641</v>
      </c>
      <c r="P316" s="10">
        <v>0.55781494374354268</v>
      </c>
      <c r="Q316" s="10">
        <v>25.330154418900001</v>
      </c>
      <c r="R316" s="10">
        <v>39.113435232800001</v>
      </c>
      <c r="S316" s="10">
        <v>33.294639117700001</v>
      </c>
      <c r="T316" s="10">
        <v>35.305542803500003</v>
      </c>
      <c r="U316" s="10">
        <v>49.545527130799996</v>
      </c>
      <c r="V316" s="10">
        <v>38.308027609100002</v>
      </c>
      <c r="W316" s="10">
        <v>27.916388430000001</v>
      </c>
      <c r="X316" s="10">
        <v>-26.190028940000001</v>
      </c>
    </row>
    <row r="317" spans="1:24" x14ac:dyDescent="0.45">
      <c r="A317">
        <v>79800071</v>
      </c>
      <c r="B317" t="s">
        <v>38</v>
      </c>
      <c r="D317">
        <v>1</v>
      </c>
      <c r="E317" s="10">
        <v>0.77367905624496791</v>
      </c>
      <c r="F317" s="10">
        <v>4.5703665419998207E-2</v>
      </c>
      <c r="G317" s="10">
        <v>0.91345492405455597</v>
      </c>
      <c r="H317" s="10">
        <v>2.4092401284441258E-2</v>
      </c>
      <c r="I317" s="10">
        <v>6.21716450860808E-2</v>
      </c>
      <c r="J317" s="10">
        <v>2.3443930391324159E-2</v>
      </c>
      <c r="K317" s="10">
        <v>5.9762426616347356E-2</v>
      </c>
      <c r="L317" s="10">
        <v>0.57940486136582581</v>
      </c>
      <c r="M317" s="10">
        <v>0.74488573463299712</v>
      </c>
      <c r="N317" s="10">
        <v>0.58660884530430324</v>
      </c>
      <c r="O317" s="10">
        <v>0.72854956317223618</v>
      </c>
      <c r="P317" s="10">
        <v>0.65986225111884056</v>
      </c>
      <c r="Q317" s="10">
        <v>23.014182090799999</v>
      </c>
      <c r="R317" s="10">
        <v>41.7509536743</v>
      </c>
      <c r="S317" s="10">
        <v>44.342124939000001</v>
      </c>
      <c r="T317" s="10">
        <v>28.737573623700001</v>
      </c>
      <c r="U317" s="10">
        <v>43.798030853299998</v>
      </c>
      <c r="V317" s="10">
        <v>50.126079559300003</v>
      </c>
      <c r="W317" s="10">
        <v>27.8370578</v>
      </c>
      <c r="X317" s="10">
        <v>-26.150779060000001</v>
      </c>
    </row>
    <row r="318" spans="1:24" x14ac:dyDescent="0.45">
      <c r="A318">
        <v>79800072</v>
      </c>
      <c r="B318" t="s">
        <v>38</v>
      </c>
      <c r="D318">
        <v>1</v>
      </c>
      <c r="E318" s="10">
        <v>0.50951970795139401</v>
      </c>
      <c r="F318" s="10">
        <v>2.2545428075271587E-2</v>
      </c>
      <c r="G318" s="10">
        <v>0.78489880340696527</v>
      </c>
      <c r="H318" s="10">
        <v>1.7630123188670729E-3</v>
      </c>
      <c r="I318" s="10">
        <v>2.5108309802640998E-3</v>
      </c>
      <c r="J318" s="10">
        <v>1.3578340811813194E-2</v>
      </c>
      <c r="K318" s="10">
        <v>4.5715044214119545E-2</v>
      </c>
      <c r="L318" s="10">
        <v>1</v>
      </c>
      <c r="M318" s="10">
        <v>0.97824234831056978</v>
      </c>
      <c r="N318" s="10">
        <v>0.92800611924379273</v>
      </c>
      <c r="O318" s="10">
        <v>1</v>
      </c>
      <c r="P318" s="10">
        <v>0.97656211688859063</v>
      </c>
      <c r="Q318" s="10">
        <v>22.769663810699999</v>
      </c>
      <c r="R318" s="10">
        <v>43.746903822199997</v>
      </c>
      <c r="S318" s="10">
        <v>37.461701371899998</v>
      </c>
      <c r="T318" s="10">
        <v>46.107351769300003</v>
      </c>
      <c r="U318" s="10">
        <v>53.884063296800001</v>
      </c>
      <c r="V318" s="10">
        <v>37.5344959683</v>
      </c>
      <c r="W318" s="10">
        <v>28.105599569999999</v>
      </c>
      <c r="X318" s="10">
        <v>-26.151164949999998</v>
      </c>
    </row>
    <row r="319" spans="1:24" x14ac:dyDescent="0.45">
      <c r="A319">
        <v>79800073</v>
      </c>
      <c r="B319" t="s">
        <v>38</v>
      </c>
      <c r="D319">
        <v>1</v>
      </c>
      <c r="E319" s="10">
        <v>0.7625261243522079</v>
      </c>
      <c r="F319" s="10">
        <v>2.4325740415646491E-2</v>
      </c>
      <c r="G319" s="10">
        <v>0.8396385368342707</v>
      </c>
      <c r="H319" s="10">
        <v>1.9403421352146653E-3</v>
      </c>
      <c r="I319" s="10">
        <v>2.7270968988630795E-3</v>
      </c>
      <c r="J319" s="10">
        <v>2.4584509001301443E-2</v>
      </c>
      <c r="K319" s="10">
        <v>1.3177126567520767E-2</v>
      </c>
      <c r="L319" s="10">
        <v>0.88648059269153534</v>
      </c>
      <c r="M319" s="10">
        <v>0.85084994049044549</v>
      </c>
      <c r="N319" s="10">
        <v>0.90793273837240651</v>
      </c>
      <c r="O319" s="10">
        <v>0.8372880831705467</v>
      </c>
      <c r="P319" s="10">
        <v>0.87063783868123346</v>
      </c>
      <c r="Q319" s="10">
        <v>21.504962921099999</v>
      </c>
      <c r="R319" s="10">
        <v>43.037437439000001</v>
      </c>
      <c r="S319" s="10">
        <v>37.070198059100001</v>
      </c>
      <c r="T319" s="10">
        <v>45.211517334</v>
      </c>
      <c r="U319" s="10">
        <v>52.742076873800002</v>
      </c>
      <c r="V319" s="10">
        <v>37.1259536743</v>
      </c>
      <c r="W319" s="10">
        <v>28.06656637</v>
      </c>
      <c r="X319" s="10">
        <v>-26.159984699999999</v>
      </c>
    </row>
    <row r="320" spans="1:24" x14ac:dyDescent="0.45">
      <c r="A320">
        <v>79800074</v>
      </c>
      <c r="B320" t="s">
        <v>38</v>
      </c>
      <c r="D320">
        <v>1</v>
      </c>
      <c r="E320" s="10">
        <v>0.71425372478402882</v>
      </c>
      <c r="F320" s="10">
        <v>2.1530663152916157E-2</v>
      </c>
      <c r="G320" s="10">
        <v>0.78294285579624234</v>
      </c>
      <c r="H320" s="10">
        <v>4.8620205903340541E-2</v>
      </c>
      <c r="I320" s="10">
        <v>2.4601023932980439E-3</v>
      </c>
      <c r="J320" s="10">
        <v>1.6072436265818411E-2</v>
      </c>
      <c r="K320" s="10">
        <v>1.5105446920116346E-2</v>
      </c>
      <c r="L320" s="10">
        <v>0.80928884834869819</v>
      </c>
      <c r="M320" s="10">
        <v>0.81153170146186882</v>
      </c>
      <c r="N320" s="10">
        <v>0.82714003595955965</v>
      </c>
      <c r="O320" s="10">
        <v>0.81454939562438522</v>
      </c>
      <c r="P320" s="10">
        <v>0.815627495348628</v>
      </c>
      <c r="Q320" s="10">
        <v>22.606544494600001</v>
      </c>
      <c r="R320" s="10">
        <v>42.515657001100003</v>
      </c>
      <c r="S320" s="10">
        <v>35.892336456899997</v>
      </c>
      <c r="T320" s="10">
        <v>44.647890090899999</v>
      </c>
      <c r="U320" s="10">
        <v>52.914402855799999</v>
      </c>
      <c r="V320" s="10">
        <v>36.607996905299999</v>
      </c>
      <c r="W320" s="10">
        <v>28.073010650000001</v>
      </c>
      <c r="X320" s="10">
        <v>-26.136863699999999</v>
      </c>
    </row>
    <row r="321" spans="1:24" x14ac:dyDescent="0.45">
      <c r="A321">
        <v>79800075</v>
      </c>
      <c r="B321" t="s">
        <v>38</v>
      </c>
      <c r="D321">
        <v>1</v>
      </c>
      <c r="E321" s="10">
        <v>0.95536850995267319</v>
      </c>
      <c r="F321" s="10">
        <v>3.575289071054409E-3</v>
      </c>
      <c r="G321" s="10">
        <v>0.71335674802875948</v>
      </c>
      <c r="H321" s="10">
        <v>6.2327716513255846E-2</v>
      </c>
      <c r="I321" s="10">
        <v>0.32131079063181006</v>
      </c>
      <c r="J321" s="10">
        <v>0.34675446953174843</v>
      </c>
      <c r="K321" s="10">
        <v>3.6979874549085856E-2</v>
      </c>
      <c r="L321" s="10">
        <v>0.20506329193897488</v>
      </c>
      <c r="M321" s="10">
        <v>0.16584183793057142</v>
      </c>
      <c r="N321" s="10">
        <v>0.1487635274635262</v>
      </c>
      <c r="O321" s="10">
        <v>0.18706299552055738</v>
      </c>
      <c r="P321" s="10">
        <v>0.17668291321340746</v>
      </c>
      <c r="Q321" s="10">
        <v>24.8170337677</v>
      </c>
      <c r="R321" s="10">
        <v>45.264945983899999</v>
      </c>
      <c r="S321" s="10">
        <v>37.799395243299998</v>
      </c>
      <c r="T321" s="10">
        <v>48.883014678999999</v>
      </c>
      <c r="U321" s="10">
        <v>56.855861663799999</v>
      </c>
      <c r="V321" s="10">
        <v>37.5215072632</v>
      </c>
      <c r="W321" s="10">
        <v>28.094603060000001</v>
      </c>
      <c r="X321" s="10">
        <v>-26.111554179999999</v>
      </c>
    </row>
    <row r="322" spans="1:24" x14ac:dyDescent="0.45">
      <c r="A322">
        <v>79800076</v>
      </c>
      <c r="B322" t="s">
        <v>38</v>
      </c>
      <c r="D322">
        <v>1</v>
      </c>
      <c r="E322" s="10">
        <v>0.9770060671806482</v>
      </c>
      <c r="F322" s="10">
        <v>1.6858631407826673E-3</v>
      </c>
      <c r="G322" s="10">
        <v>0.66406779509401392</v>
      </c>
      <c r="H322" s="10">
        <v>4.6805061949456002E-2</v>
      </c>
      <c r="I322" s="10">
        <v>0.2206599185868923</v>
      </c>
      <c r="J322" s="10">
        <v>0.33074114975920865</v>
      </c>
      <c r="K322" s="10">
        <v>4.4943764460364279E-2</v>
      </c>
      <c r="L322" s="10">
        <v>0.13039329680850809</v>
      </c>
      <c r="M322" s="10">
        <v>0.11351634579067675</v>
      </c>
      <c r="N322" s="10">
        <v>6.6434432091481713E-2</v>
      </c>
      <c r="O322" s="10">
        <v>8.9347444760921463E-2</v>
      </c>
      <c r="P322" s="10">
        <v>9.9922879862896996E-2</v>
      </c>
      <c r="Q322" s="10">
        <v>25.5096178055</v>
      </c>
      <c r="R322" s="10">
        <v>45.932168960600002</v>
      </c>
      <c r="S322" s="10">
        <v>38.257951736499997</v>
      </c>
      <c r="T322" s="10">
        <v>49.857269287100003</v>
      </c>
      <c r="U322" s="10">
        <v>57.810174942000003</v>
      </c>
      <c r="V322" s="10">
        <v>37.8032779694</v>
      </c>
      <c r="W322" s="10">
        <v>28.10349398</v>
      </c>
      <c r="X322" s="10">
        <v>-26.110430690000001</v>
      </c>
    </row>
    <row r="323" spans="1:24" x14ac:dyDescent="0.45">
      <c r="A323">
        <v>79800077</v>
      </c>
      <c r="B323" t="s">
        <v>38</v>
      </c>
      <c r="D323">
        <v>1</v>
      </c>
      <c r="E323" s="10">
        <v>0.88234228826532934</v>
      </c>
      <c r="F323" s="10">
        <v>5.6847257953903239E-2</v>
      </c>
      <c r="G323" s="10">
        <v>0.64088843916666283</v>
      </c>
      <c r="H323" s="10">
        <v>2.9723606594636462E-4</v>
      </c>
      <c r="I323" s="10">
        <v>0.37409737025555057</v>
      </c>
      <c r="J323" s="10">
        <v>0.18310536304123626</v>
      </c>
      <c r="K323" s="10">
        <v>0.16129841136487694</v>
      </c>
      <c r="L323" s="10">
        <v>0.19121568413548379</v>
      </c>
      <c r="M323" s="10">
        <v>0.16614521215496258</v>
      </c>
      <c r="N323" s="10">
        <v>0.11992338514773997</v>
      </c>
      <c r="O323" s="10">
        <v>0.17916909546114482</v>
      </c>
      <c r="P323" s="10">
        <v>0.16411334422483279</v>
      </c>
      <c r="Q323" s="10">
        <v>35.694763530400003</v>
      </c>
      <c r="R323" s="10">
        <v>51.709499359100001</v>
      </c>
      <c r="S323" s="10">
        <v>39.611194610600002</v>
      </c>
      <c r="T323" s="10">
        <v>56.416355133099998</v>
      </c>
      <c r="U323" s="10">
        <v>68.137756347700005</v>
      </c>
      <c r="V323" s="10">
        <v>42.672695159900002</v>
      </c>
      <c r="W323" s="10">
        <v>28.205159989999999</v>
      </c>
      <c r="X323" s="10">
        <v>-25.98490108</v>
      </c>
    </row>
    <row r="324" spans="1:24" x14ac:dyDescent="0.45">
      <c r="A324">
        <v>79800078</v>
      </c>
      <c r="B324" t="s">
        <v>38</v>
      </c>
      <c r="D324">
        <v>1</v>
      </c>
      <c r="E324" s="10">
        <v>0.94330454683217102</v>
      </c>
      <c r="F324" s="10">
        <v>3.4532138805303904E-2</v>
      </c>
      <c r="G324" s="10">
        <v>0.67095532166225846</v>
      </c>
      <c r="H324" s="10">
        <v>0</v>
      </c>
      <c r="I324" s="10">
        <v>0.48637346918821428</v>
      </c>
      <c r="J324" s="10">
        <v>0.21517741356835846</v>
      </c>
      <c r="K324" s="10">
        <v>0.29481646225190572</v>
      </c>
      <c r="L324" s="10">
        <v>0.14690212151082363</v>
      </c>
      <c r="M324" s="10">
        <v>9.1729067044537246E-2</v>
      </c>
      <c r="N324" s="10">
        <v>8.161158453554998E-2</v>
      </c>
      <c r="O324" s="10">
        <v>0.13883971107549303</v>
      </c>
      <c r="P324" s="10">
        <v>0.11477062104160098</v>
      </c>
      <c r="Q324" s="10">
        <v>33.152517557099998</v>
      </c>
      <c r="R324" s="10">
        <v>49.726452827499998</v>
      </c>
      <c r="S324" s="10">
        <v>38.067254066499999</v>
      </c>
      <c r="T324" s="10">
        <v>54.470599174500002</v>
      </c>
      <c r="U324" s="10">
        <v>66.052546501199998</v>
      </c>
      <c r="V324" s="10">
        <v>40.315413951899998</v>
      </c>
      <c r="W324" s="10">
        <v>28.199209799999998</v>
      </c>
      <c r="X324" s="10">
        <v>-26.00150081</v>
      </c>
    </row>
    <row r="325" spans="1:24" x14ac:dyDescent="0.45">
      <c r="A325">
        <v>79800079</v>
      </c>
      <c r="B325" t="s">
        <v>38</v>
      </c>
      <c r="D325">
        <v>1</v>
      </c>
      <c r="E325" s="10">
        <v>0.88085351303780279</v>
      </c>
      <c r="F325" s="10">
        <v>2.5953525218536378E-2</v>
      </c>
      <c r="G325" s="10">
        <v>0.69645658173449432</v>
      </c>
      <c r="H325" s="10">
        <v>1.1756888901140385E-2</v>
      </c>
      <c r="I325" s="10">
        <v>0.69461812862424144</v>
      </c>
      <c r="J325" s="10">
        <v>0.20240562197932924</v>
      </c>
      <c r="K325" s="10">
        <v>0.34793097122198902</v>
      </c>
      <c r="L325" s="10">
        <v>0.21328106755887799</v>
      </c>
      <c r="M325" s="10">
        <v>0.18928724648387335</v>
      </c>
      <c r="N325" s="10">
        <v>0.15240184963173586</v>
      </c>
      <c r="O325" s="10">
        <v>0.22330099149681445</v>
      </c>
      <c r="P325" s="10">
        <v>0.19456778879282544</v>
      </c>
      <c r="Q325" s="10">
        <v>30.284365081800001</v>
      </c>
      <c r="R325" s="10">
        <v>48.827534866299999</v>
      </c>
      <c r="S325" s="10">
        <v>37.332859039299997</v>
      </c>
      <c r="T325" s="10">
        <v>53.586408996599999</v>
      </c>
      <c r="U325" s="10">
        <v>65.113927459699994</v>
      </c>
      <c r="V325" s="10">
        <v>39.276946258499997</v>
      </c>
      <c r="W325" s="10">
        <v>28.18399136</v>
      </c>
      <c r="X325" s="10">
        <v>-26.008622949999999</v>
      </c>
    </row>
    <row r="326" spans="1:24" x14ac:dyDescent="0.45">
      <c r="A326">
        <v>79800080</v>
      </c>
      <c r="B326" t="s">
        <v>38</v>
      </c>
      <c r="D326">
        <v>1</v>
      </c>
      <c r="E326" s="10">
        <v>0.65636947161856973</v>
      </c>
      <c r="F326" s="10">
        <v>0.10668808321567931</v>
      </c>
      <c r="G326" s="10">
        <v>0.74325658143715223</v>
      </c>
      <c r="H326" s="10">
        <v>6.6464889027171889E-2</v>
      </c>
      <c r="I326" s="10">
        <v>0.71097377466213163</v>
      </c>
      <c r="J326" s="10">
        <v>0.15319344795705087</v>
      </c>
      <c r="K326" s="10">
        <v>0.22618584577969547</v>
      </c>
      <c r="L326" s="10">
        <v>0.30686810508547668</v>
      </c>
      <c r="M326" s="10">
        <v>0.34752354855681838</v>
      </c>
      <c r="N326" s="10">
        <v>0.26020319252540886</v>
      </c>
      <c r="O326" s="10">
        <v>0.34538316791880619</v>
      </c>
      <c r="P326" s="10">
        <v>0.31499450352162756</v>
      </c>
      <c r="Q326" s="10">
        <v>27.994399207000001</v>
      </c>
      <c r="R326" s="10">
        <v>48.981152125800001</v>
      </c>
      <c r="S326" s="10">
        <v>37.464773995500003</v>
      </c>
      <c r="T326" s="10">
        <v>53.8354530334</v>
      </c>
      <c r="U326" s="10">
        <v>65.408040727900001</v>
      </c>
      <c r="V326" s="10">
        <v>39.216344560899998</v>
      </c>
      <c r="W326" s="10">
        <v>28.178345660000002</v>
      </c>
      <c r="X326" s="10">
        <v>-26.02814571</v>
      </c>
    </row>
    <row r="327" spans="1:24" x14ac:dyDescent="0.45">
      <c r="A327">
        <v>79800081</v>
      </c>
      <c r="B327" t="s">
        <v>38</v>
      </c>
      <c r="D327">
        <v>1</v>
      </c>
      <c r="E327" s="10">
        <v>0.6809417023759381</v>
      </c>
      <c r="F327" s="10">
        <v>1.9379999533958171E-2</v>
      </c>
      <c r="G327" s="10">
        <v>0.6967112882021369</v>
      </c>
      <c r="H327" s="10">
        <v>0.13554335064932016</v>
      </c>
      <c r="I327" s="10">
        <v>0.11046950358242963</v>
      </c>
      <c r="J327" s="10">
        <v>2.3362746043715809E-2</v>
      </c>
      <c r="K327" s="10">
        <v>2.3805186662914913E-2</v>
      </c>
      <c r="L327" s="10">
        <v>0.65158130747231358</v>
      </c>
      <c r="M327" s="10">
        <v>0.79207711601711583</v>
      </c>
      <c r="N327" s="10">
        <v>0.65427876701141907</v>
      </c>
      <c r="O327" s="10">
        <v>0.78950264639714529</v>
      </c>
      <c r="P327" s="10">
        <v>0.72185995922449842</v>
      </c>
      <c r="Q327" s="10">
        <v>25.158475875899999</v>
      </c>
      <c r="R327" s="10">
        <v>45.326966652499998</v>
      </c>
      <c r="S327" s="10">
        <v>37.849165843100003</v>
      </c>
      <c r="T327" s="10">
        <v>48.859675040600003</v>
      </c>
      <c r="U327" s="10">
        <v>56.973679395799998</v>
      </c>
      <c r="V327" s="10">
        <v>37.625343836299997</v>
      </c>
      <c r="W327" s="10">
        <v>28.11639448</v>
      </c>
      <c r="X327" s="10">
        <v>-26.124763680000001</v>
      </c>
    </row>
    <row r="328" spans="1:24" x14ac:dyDescent="0.45">
      <c r="A328">
        <v>79800082</v>
      </c>
      <c r="B328" t="s">
        <v>38</v>
      </c>
      <c r="D328">
        <v>1</v>
      </c>
      <c r="E328" s="10">
        <v>0.71214553486713494</v>
      </c>
      <c r="F328" s="10">
        <v>8.4498614260220938E-3</v>
      </c>
      <c r="G328" s="10">
        <v>0.8631877741458609</v>
      </c>
      <c r="H328" s="10">
        <v>0.1785068920877311</v>
      </c>
      <c r="I328" s="10">
        <v>7.972546666770991E-2</v>
      </c>
      <c r="J328" s="10">
        <v>5.244044398793974E-2</v>
      </c>
      <c r="K328" s="10">
        <v>1.2709891260238998E-2</v>
      </c>
      <c r="L328" s="10">
        <v>0.43294371101967755</v>
      </c>
      <c r="M328" s="10">
        <v>0.56216243488951501</v>
      </c>
      <c r="N328" s="10">
        <v>0.48492261245134749</v>
      </c>
      <c r="O328" s="10">
        <v>0.52983609202287218</v>
      </c>
      <c r="P328" s="10">
        <v>0.502466212595853</v>
      </c>
      <c r="Q328" s="10">
        <v>25.224842071499999</v>
      </c>
      <c r="R328" s="10">
        <v>40.452562332200003</v>
      </c>
      <c r="S328" s="10">
        <v>34.127202034</v>
      </c>
      <c r="T328" s="10">
        <v>36.717788060499998</v>
      </c>
      <c r="U328" s="10">
        <v>50.7281484604</v>
      </c>
      <c r="V328" s="10">
        <v>40.2371096611</v>
      </c>
      <c r="W328" s="10">
        <v>27.959025570000001</v>
      </c>
      <c r="X328" s="10">
        <v>-26.185156559999999</v>
      </c>
    </row>
    <row r="329" spans="1:24" x14ac:dyDescent="0.45">
      <c r="A329">
        <v>79800083</v>
      </c>
      <c r="B329" t="s">
        <v>38</v>
      </c>
      <c r="D329">
        <v>1</v>
      </c>
      <c r="E329" s="10">
        <v>0.81528507159879049</v>
      </c>
      <c r="F329" s="10">
        <v>5.5845662364260543E-2</v>
      </c>
      <c r="G329" s="10">
        <v>0.85264312210745952</v>
      </c>
      <c r="H329" s="10">
        <v>4.6031239073185751E-3</v>
      </c>
      <c r="I329" s="10">
        <v>1.0277114215326102E-3</v>
      </c>
      <c r="J329" s="10">
        <v>1.4720705626029758E-2</v>
      </c>
      <c r="K329" s="10">
        <v>0.10253035642262466</v>
      </c>
      <c r="L329" s="10">
        <v>0.7844978352486931</v>
      </c>
      <c r="M329" s="10">
        <v>0.75869067640913446</v>
      </c>
      <c r="N329" s="10">
        <v>0.6982860728472442</v>
      </c>
      <c r="O329" s="10">
        <v>0.79761808054119221</v>
      </c>
      <c r="P329" s="10">
        <v>0.75977316626156599</v>
      </c>
      <c r="Q329" s="10">
        <v>18.728021621700002</v>
      </c>
      <c r="R329" s="10">
        <v>34.770189046900001</v>
      </c>
      <c r="S329" s="10">
        <v>31.380235513100001</v>
      </c>
      <c r="T329" s="10">
        <v>29.302386681200002</v>
      </c>
      <c r="U329" s="10">
        <v>40.461525360700001</v>
      </c>
      <c r="V329" s="10">
        <v>37.936609824500003</v>
      </c>
      <c r="W329" s="10">
        <v>27.85432995</v>
      </c>
      <c r="X329" s="10">
        <v>-26.114209330000001</v>
      </c>
    </row>
    <row r="330" spans="1:24" x14ac:dyDescent="0.45">
      <c r="A330">
        <v>79800084</v>
      </c>
      <c r="B330" t="s">
        <v>38</v>
      </c>
      <c r="D330">
        <v>1</v>
      </c>
      <c r="E330" s="10">
        <v>0.79387939188420442</v>
      </c>
      <c r="F330" s="10">
        <v>4.0732852421679316E-2</v>
      </c>
      <c r="G330" s="10">
        <v>0.9288796141983634</v>
      </c>
      <c r="H330" s="10">
        <v>9.7269638169163536E-2</v>
      </c>
      <c r="I330" s="10">
        <v>7.2324422459560059E-3</v>
      </c>
      <c r="J330" s="10">
        <v>2.5343703284137573E-2</v>
      </c>
      <c r="K330" s="10">
        <v>1.3847357668294051E-2</v>
      </c>
      <c r="L330" s="10">
        <v>0.55899291694357522</v>
      </c>
      <c r="M330" s="10">
        <v>0.66060572710697352</v>
      </c>
      <c r="N330" s="10">
        <v>0.59208924009177821</v>
      </c>
      <c r="O330" s="10">
        <v>0.64618127116101121</v>
      </c>
      <c r="P330" s="10">
        <v>0.61446728882583457</v>
      </c>
      <c r="Q330" s="10">
        <v>22.571442921999999</v>
      </c>
      <c r="R330" s="10">
        <v>36.074954986599998</v>
      </c>
      <c r="S330" s="10">
        <v>30.852481842</v>
      </c>
      <c r="T330" s="10">
        <v>31.894456863399999</v>
      </c>
      <c r="U330" s="10">
        <v>45.777683258099998</v>
      </c>
      <c r="V330" s="10">
        <v>35.775192260700003</v>
      </c>
      <c r="W330" s="10">
        <v>27.879546049999998</v>
      </c>
      <c r="X330" s="10">
        <v>-26.158260049999999</v>
      </c>
    </row>
    <row r="331" spans="1:24" x14ac:dyDescent="0.45">
      <c r="A331">
        <v>79800085</v>
      </c>
      <c r="B331" t="s">
        <v>38</v>
      </c>
      <c r="D331">
        <v>1</v>
      </c>
      <c r="E331" s="10">
        <v>0.73313164844135514</v>
      </c>
      <c r="F331" s="10">
        <v>0.14241515709021652</v>
      </c>
      <c r="G331" s="10">
        <v>0.91443258612830858</v>
      </c>
      <c r="H331" s="10">
        <v>1.4039145083557606E-2</v>
      </c>
      <c r="I331" s="10">
        <v>5.026672010484283E-2</v>
      </c>
      <c r="J331" s="10">
        <v>1.3968720040527941E-2</v>
      </c>
      <c r="K331" s="10">
        <v>2.1826494902954963E-2</v>
      </c>
      <c r="L331" s="10">
        <v>0.74595822274216195</v>
      </c>
      <c r="M331" s="10">
        <v>0.69753842173479697</v>
      </c>
      <c r="N331" s="10">
        <v>0.67209261893504446</v>
      </c>
      <c r="O331" s="10">
        <v>0.76989045726623095</v>
      </c>
      <c r="P331" s="10">
        <v>0.72136993016955853</v>
      </c>
      <c r="Q331" s="10">
        <v>20.215246581999999</v>
      </c>
      <c r="R331" s="10">
        <v>36.622614327100003</v>
      </c>
      <c r="S331" s="10">
        <v>32.952165732899999</v>
      </c>
      <c r="T331" s="10">
        <v>31.199665683799999</v>
      </c>
      <c r="U331" s="10">
        <v>44.146084672299999</v>
      </c>
      <c r="V331" s="10">
        <v>38.1925384392</v>
      </c>
      <c r="W331" s="10">
        <v>27.88893947</v>
      </c>
      <c r="X331" s="10">
        <v>-26.140839159999999</v>
      </c>
    </row>
    <row r="332" spans="1:24" x14ac:dyDescent="0.45">
      <c r="A332">
        <v>79700052</v>
      </c>
      <c r="B332" t="s">
        <v>22</v>
      </c>
      <c r="D332">
        <v>1</v>
      </c>
      <c r="E332" s="10">
        <v>0.73235404186802455</v>
      </c>
      <c r="F332" s="10">
        <v>0.22718474978473591</v>
      </c>
      <c r="G332" s="10">
        <v>0.67592191735330709</v>
      </c>
      <c r="H332" s="10">
        <v>0</v>
      </c>
      <c r="I332" s="10">
        <v>0.55419757114998991</v>
      </c>
      <c r="J332" s="10">
        <v>0.10660528102679555</v>
      </c>
      <c r="K332" s="10">
        <v>2.8974010588794067E-2</v>
      </c>
      <c r="L332" s="10">
        <v>0.2792514344438693</v>
      </c>
      <c r="M332" s="10">
        <v>0.37488087018070865</v>
      </c>
      <c r="N332" s="10">
        <v>0.28031681085322219</v>
      </c>
      <c r="O332" s="10">
        <v>0.34780362227323303</v>
      </c>
      <c r="P332" s="10">
        <v>0.32056318443775828</v>
      </c>
      <c r="Q332" s="10">
        <v>40.524528503399999</v>
      </c>
      <c r="R332" s="10">
        <v>63.581128553900001</v>
      </c>
      <c r="S332" s="10">
        <v>52.894102269999998</v>
      </c>
      <c r="T332" s="10">
        <v>68.504242636900003</v>
      </c>
      <c r="U332" s="10">
        <v>79.197875283000002</v>
      </c>
      <c r="V332" s="10">
        <v>53.728290211100003</v>
      </c>
      <c r="W332" s="10">
        <v>28.14437363</v>
      </c>
      <c r="X332" s="10">
        <v>-26.323666660000001</v>
      </c>
    </row>
    <row r="333" spans="1:24" x14ac:dyDescent="0.45">
      <c r="A333">
        <v>79700054</v>
      </c>
      <c r="B333" t="s">
        <v>22</v>
      </c>
      <c r="D333">
        <v>1</v>
      </c>
      <c r="E333" s="10">
        <v>0.81506581570245962</v>
      </c>
      <c r="F333" s="10">
        <v>5.5535941803338713E-2</v>
      </c>
      <c r="G333" s="10">
        <v>0.66997185365474743</v>
      </c>
      <c r="H333" s="10">
        <v>0</v>
      </c>
      <c r="I333" s="10">
        <v>0.24899032363900162</v>
      </c>
      <c r="J333" s="10">
        <v>0.13257788623221839</v>
      </c>
      <c r="K333" s="10">
        <v>6.036928614061144E-2</v>
      </c>
      <c r="L333" s="10">
        <v>0.23418685285981125</v>
      </c>
      <c r="M333" s="10">
        <v>0.3288637636670857</v>
      </c>
      <c r="N333" s="10">
        <v>0.21017880873572625</v>
      </c>
      <c r="O333" s="10">
        <v>0.24910020716803064</v>
      </c>
      <c r="P333" s="10">
        <v>0.25558240810766347</v>
      </c>
      <c r="Q333" s="10">
        <v>38.297828197500003</v>
      </c>
      <c r="R333" s="10">
        <v>68.889945983900006</v>
      </c>
      <c r="S333" s="10">
        <v>56.088886260999999</v>
      </c>
      <c r="T333" s="10">
        <v>75.285461425799994</v>
      </c>
      <c r="U333" s="10">
        <v>86.325218200699993</v>
      </c>
      <c r="V333" s="10">
        <v>57.860210418699999</v>
      </c>
      <c r="W333" s="10">
        <v>28.14260891</v>
      </c>
      <c r="X333" s="10">
        <v>-26.341864770000001</v>
      </c>
    </row>
    <row r="334" spans="1:24" x14ac:dyDescent="0.45">
      <c r="A334">
        <v>79700058</v>
      </c>
      <c r="B334" t="s">
        <v>22</v>
      </c>
      <c r="D334">
        <v>1</v>
      </c>
      <c r="E334" s="10">
        <v>0.83062592697259341</v>
      </c>
      <c r="F334" s="10">
        <v>4.6782156881970433E-2</v>
      </c>
      <c r="G334" s="10">
        <v>0.66624814097793361</v>
      </c>
      <c r="H334" s="10">
        <v>5.1865575672846648E-4</v>
      </c>
      <c r="I334" s="10">
        <v>0.39558250346747037</v>
      </c>
      <c r="J334" s="10">
        <v>6.6783813708942763E-2</v>
      </c>
      <c r="K334" s="10">
        <v>0.19001166304175496</v>
      </c>
      <c r="L334" s="10">
        <v>0.42291614708681419</v>
      </c>
      <c r="M334" s="10">
        <v>0.51663314017475626</v>
      </c>
      <c r="N334" s="10">
        <v>0.41648676261526391</v>
      </c>
      <c r="O334" s="10">
        <v>0.50747279306000403</v>
      </c>
      <c r="P334" s="10">
        <v>0.46587721073420962</v>
      </c>
      <c r="Q334" s="10">
        <v>36.037176132200003</v>
      </c>
      <c r="R334" s="10">
        <v>71.076805114699994</v>
      </c>
      <c r="S334" s="10">
        <v>56.431255340600003</v>
      </c>
      <c r="T334" s="10">
        <v>75.967346191399997</v>
      </c>
      <c r="U334" s="10">
        <v>89.469604492200006</v>
      </c>
      <c r="V334" s="10">
        <v>62.439006805399998</v>
      </c>
      <c r="W334" s="10">
        <v>28.140532409999999</v>
      </c>
      <c r="X334" s="10">
        <v>-26.38728746</v>
      </c>
    </row>
    <row r="335" spans="1:24" x14ac:dyDescent="0.45">
      <c r="A335">
        <v>79700059</v>
      </c>
      <c r="B335" t="s">
        <v>22</v>
      </c>
      <c r="D335">
        <v>1</v>
      </c>
      <c r="E335" s="10">
        <v>0.80434601385112281</v>
      </c>
      <c r="F335" s="10">
        <v>5.1772132694336412E-3</v>
      </c>
      <c r="G335" s="10">
        <v>0.64514010897498486</v>
      </c>
      <c r="H335" s="10">
        <v>1.7798755514612064E-4</v>
      </c>
      <c r="I335" s="10">
        <v>5.4340132006401011E-2</v>
      </c>
      <c r="J335" s="10">
        <v>6.651138172418776E-2</v>
      </c>
      <c r="K335" s="10">
        <v>0.23778577638747211</v>
      </c>
      <c r="L335" s="10">
        <v>0.37822796309983342</v>
      </c>
      <c r="M335" s="10">
        <v>0.51601323760658768</v>
      </c>
      <c r="N335" s="10">
        <v>0.39393487858822968</v>
      </c>
      <c r="O335" s="10">
        <v>0.48108435512357367</v>
      </c>
      <c r="P335" s="10">
        <v>0.44231510860455614</v>
      </c>
      <c r="Q335" s="10">
        <v>35.585018157999997</v>
      </c>
      <c r="R335" s="10">
        <v>68.403861999499995</v>
      </c>
      <c r="S335" s="10">
        <v>55.454340404900002</v>
      </c>
      <c r="T335" s="10">
        <v>73.158942328600006</v>
      </c>
      <c r="U335" s="10">
        <v>85.804363674599998</v>
      </c>
      <c r="V335" s="10">
        <v>59.197792053199997</v>
      </c>
      <c r="W335" s="10">
        <v>28.152281649999999</v>
      </c>
      <c r="X335" s="10">
        <v>-26.370398340000001</v>
      </c>
    </row>
    <row r="336" spans="1:24" x14ac:dyDescent="0.45">
      <c r="A336">
        <v>79700060</v>
      </c>
      <c r="B336" t="s">
        <v>22</v>
      </c>
      <c r="D336">
        <v>1</v>
      </c>
      <c r="E336" s="10">
        <v>0.72522258425132613</v>
      </c>
      <c r="F336" s="10">
        <v>5.4592076587710051E-2</v>
      </c>
      <c r="G336" s="10">
        <v>0.62611881428476912</v>
      </c>
      <c r="H336" s="10">
        <v>0</v>
      </c>
      <c r="I336" s="10">
        <v>7.6077748208674759E-2</v>
      </c>
      <c r="J336" s="10">
        <v>7.9567473504240357E-2</v>
      </c>
      <c r="K336" s="10">
        <v>0.32292349154477096</v>
      </c>
      <c r="L336" s="10">
        <v>0.39212960764244209</v>
      </c>
      <c r="M336" s="10">
        <v>0.50371699907955891</v>
      </c>
      <c r="N336" s="10">
        <v>0.42836546951769128</v>
      </c>
      <c r="O336" s="10">
        <v>0.53051576709829007</v>
      </c>
      <c r="P336" s="10">
        <v>0.46368196083449559</v>
      </c>
      <c r="Q336" s="10">
        <v>37.870193481400001</v>
      </c>
      <c r="R336" s="10">
        <v>69.858983039899996</v>
      </c>
      <c r="S336" s="10">
        <v>56.083143949499998</v>
      </c>
      <c r="T336" s="10">
        <v>74.988822460199998</v>
      </c>
      <c r="U336" s="10">
        <v>87.767663478900005</v>
      </c>
      <c r="V336" s="10">
        <v>60.596295595199997</v>
      </c>
      <c r="W336" s="10">
        <v>28.16470876</v>
      </c>
      <c r="X336" s="10">
        <v>-26.372691880000001</v>
      </c>
    </row>
    <row r="337" spans="1:24" x14ac:dyDescent="0.45">
      <c r="A337">
        <v>79700061</v>
      </c>
      <c r="B337" t="s">
        <v>22</v>
      </c>
      <c r="D337">
        <v>1</v>
      </c>
      <c r="E337" s="10">
        <v>0.16254829807205934</v>
      </c>
      <c r="F337" s="10">
        <v>0.48241440001847324</v>
      </c>
      <c r="G337" s="10">
        <v>0.6158381749321763</v>
      </c>
      <c r="H337" s="10">
        <v>0</v>
      </c>
      <c r="I337" s="10">
        <v>0.46464987657517498</v>
      </c>
      <c r="J337" s="10">
        <v>1.8833821174752293E-2</v>
      </c>
      <c r="K337" s="10">
        <v>5.6374095958426858E-2</v>
      </c>
      <c r="L337" s="10">
        <v>0.51645252427162114</v>
      </c>
      <c r="M337" s="10">
        <v>0.76119683636141755</v>
      </c>
      <c r="N337" s="10">
        <v>0.48868629271294267</v>
      </c>
      <c r="O337" s="10">
        <v>0.75879668585296556</v>
      </c>
      <c r="P337" s="10">
        <v>0.63128308479973683</v>
      </c>
      <c r="Q337" s="10">
        <v>41.5305569967</v>
      </c>
      <c r="R337" s="10">
        <v>64.554021729400006</v>
      </c>
      <c r="S337" s="10">
        <v>51.024169868900003</v>
      </c>
      <c r="T337" s="10">
        <v>67.980754216500003</v>
      </c>
      <c r="U337" s="10">
        <v>81.5798476537</v>
      </c>
      <c r="V337" s="10">
        <v>57.631311416599999</v>
      </c>
      <c r="W337" s="10">
        <v>28.156612209999999</v>
      </c>
      <c r="X337" s="10">
        <v>-26.41792079</v>
      </c>
    </row>
    <row r="338" spans="1:24" x14ac:dyDescent="0.45">
      <c r="A338">
        <v>79700063</v>
      </c>
      <c r="B338" t="s">
        <v>22</v>
      </c>
      <c r="D338">
        <v>1</v>
      </c>
      <c r="E338" s="10">
        <v>0.66279307866159665</v>
      </c>
      <c r="F338" s="10">
        <v>6.3319642178363E-2</v>
      </c>
      <c r="G338" s="10">
        <v>0.62020111179248461</v>
      </c>
      <c r="H338" s="10">
        <v>0</v>
      </c>
      <c r="I338" s="10">
        <v>0.30274943439024465</v>
      </c>
      <c r="J338" s="10">
        <v>8.2776208795822939E-2</v>
      </c>
      <c r="K338" s="10">
        <v>0.3605620082590687</v>
      </c>
      <c r="L338" s="10">
        <v>0.37783671810013414</v>
      </c>
      <c r="M338" s="10">
        <v>0.50173918279597252</v>
      </c>
      <c r="N338" s="10">
        <v>0.38805947063868801</v>
      </c>
      <c r="O338" s="10">
        <v>0.50511725114860784</v>
      </c>
      <c r="P338" s="10">
        <v>0.44318815567085057</v>
      </c>
      <c r="Q338" s="10">
        <v>41.315200805700002</v>
      </c>
      <c r="R338" s="10">
        <v>70.678282737700002</v>
      </c>
      <c r="S338" s="10">
        <v>56.409379482299997</v>
      </c>
      <c r="T338" s="10">
        <v>76.293613433800004</v>
      </c>
      <c r="U338" s="10">
        <v>88.438892364500006</v>
      </c>
      <c r="V338" s="10">
        <v>61.571239233</v>
      </c>
      <c r="W338" s="10">
        <v>28.183476670000001</v>
      </c>
      <c r="X338" s="10">
        <v>-26.379895179999998</v>
      </c>
    </row>
    <row r="339" spans="1:24" x14ac:dyDescent="0.45">
      <c r="A339">
        <v>79700066</v>
      </c>
      <c r="B339" t="s">
        <v>22</v>
      </c>
      <c r="D339">
        <v>1</v>
      </c>
      <c r="E339" s="10">
        <v>0.87881601704506473</v>
      </c>
      <c r="F339" s="10">
        <v>0.38805543515355806</v>
      </c>
      <c r="G339" s="10">
        <v>0.76102542019756925</v>
      </c>
      <c r="H339" s="10">
        <v>0</v>
      </c>
      <c r="I339" s="10">
        <v>0.42055774413976443</v>
      </c>
      <c r="J339" s="10">
        <v>0.11151074509869888</v>
      </c>
      <c r="K339" s="10">
        <v>0.36075571388234673</v>
      </c>
      <c r="L339" s="10">
        <v>0.28169593237487878</v>
      </c>
      <c r="M339" s="10">
        <v>0.34187658930929238</v>
      </c>
      <c r="N339" s="10">
        <v>0.2839643153379518</v>
      </c>
      <c r="O339" s="10">
        <v>0.36148233231208438</v>
      </c>
      <c r="P339" s="10">
        <v>0.31725479233355186</v>
      </c>
      <c r="Q339" s="10">
        <v>54.200853787900002</v>
      </c>
      <c r="R339" s="10">
        <v>61.8224739662</v>
      </c>
      <c r="S339" s="10">
        <v>45.3565362784</v>
      </c>
      <c r="T339" s="10">
        <v>59.8086662292</v>
      </c>
      <c r="U339" s="10">
        <v>94.451352632999999</v>
      </c>
      <c r="V339" s="10">
        <v>47.6733401372</v>
      </c>
      <c r="W339" s="10">
        <v>28.480649110000002</v>
      </c>
      <c r="X339" s="10">
        <v>-26.11989964</v>
      </c>
    </row>
    <row r="340" spans="1:24" x14ac:dyDescent="0.45">
      <c r="A340">
        <v>79700069</v>
      </c>
      <c r="B340" t="s">
        <v>22</v>
      </c>
      <c r="D340">
        <v>1</v>
      </c>
      <c r="E340" s="10">
        <v>0.84148577519679935</v>
      </c>
      <c r="F340" s="10">
        <v>0.32336178156867701</v>
      </c>
      <c r="G340" s="10">
        <v>0.76028483352031762</v>
      </c>
      <c r="H340" s="10">
        <v>0</v>
      </c>
      <c r="I340" s="10">
        <v>0.70726672467567175</v>
      </c>
      <c r="J340" s="10">
        <v>0.10308449763662535</v>
      </c>
      <c r="K340" s="10">
        <v>0.11716645461280377</v>
      </c>
      <c r="L340" s="10">
        <v>0.32753811323424642</v>
      </c>
      <c r="M340" s="10">
        <v>0.37810907387702442</v>
      </c>
      <c r="N340" s="10">
        <v>0.31236249155191831</v>
      </c>
      <c r="O340" s="10">
        <v>0.3618315909500141</v>
      </c>
      <c r="P340" s="10">
        <v>0.3449603174033008</v>
      </c>
      <c r="Q340" s="10">
        <v>69.469830513000005</v>
      </c>
      <c r="R340" s="10">
        <v>66.002138137800003</v>
      </c>
      <c r="S340" s="10">
        <v>51.835585117299999</v>
      </c>
      <c r="T340" s="10">
        <v>64.5900158882</v>
      </c>
      <c r="U340" s="10">
        <v>95.954105377199994</v>
      </c>
      <c r="V340" s="10">
        <v>51.628830432900003</v>
      </c>
      <c r="W340" s="10">
        <v>28.424547319999999</v>
      </c>
      <c r="X340" s="10">
        <v>-26.142859489999999</v>
      </c>
    </row>
    <row r="341" spans="1:24" x14ac:dyDescent="0.45">
      <c r="A341">
        <v>79700070</v>
      </c>
      <c r="B341" t="s">
        <v>22</v>
      </c>
      <c r="D341">
        <v>1</v>
      </c>
      <c r="E341" s="10">
        <v>0.9664683876727338</v>
      </c>
      <c r="F341" s="10">
        <v>0.24018000341201504</v>
      </c>
      <c r="G341" s="10">
        <v>0.77213919215596205</v>
      </c>
      <c r="H341" s="10">
        <v>0</v>
      </c>
      <c r="I341" s="10">
        <v>0.79502250329444613</v>
      </c>
      <c r="J341" s="10">
        <v>0.11414565627866549</v>
      </c>
      <c r="K341" s="10">
        <v>7.5586825927941581E-2</v>
      </c>
      <c r="L341" s="10">
        <v>0.28269034004827509</v>
      </c>
      <c r="M341" s="10">
        <v>0.27464740532766052</v>
      </c>
      <c r="N341" s="10">
        <v>0.27310424947358747</v>
      </c>
      <c r="O341" s="10">
        <v>0.28568938156948864</v>
      </c>
      <c r="P341" s="10">
        <v>0.27903284410475293</v>
      </c>
      <c r="Q341" s="10">
        <v>60.204135894799997</v>
      </c>
      <c r="R341" s="10">
        <v>65.267463684099994</v>
      </c>
      <c r="S341" s="10">
        <v>51.4535284042</v>
      </c>
      <c r="T341" s="10">
        <v>64.529244422900007</v>
      </c>
      <c r="U341" s="10">
        <v>93.967628478999998</v>
      </c>
      <c r="V341" s="10">
        <v>51.119443893400003</v>
      </c>
      <c r="W341" s="10">
        <v>28.417090170000002</v>
      </c>
      <c r="X341" s="10">
        <v>-26.148306000000002</v>
      </c>
    </row>
    <row r="342" spans="1:24" x14ac:dyDescent="0.45">
      <c r="A342">
        <v>79700071</v>
      </c>
      <c r="B342" t="s">
        <v>22</v>
      </c>
      <c r="D342">
        <v>1</v>
      </c>
      <c r="E342" s="10">
        <v>0.24304465673159681</v>
      </c>
      <c r="F342" s="10">
        <v>0.6522514513895199</v>
      </c>
      <c r="G342" s="10">
        <v>0.76287335371470033</v>
      </c>
      <c r="H342" s="10">
        <v>3.010950331708599E-3</v>
      </c>
      <c r="I342" s="10">
        <v>0.10179620291190858</v>
      </c>
      <c r="J342" s="10">
        <v>3.8031087827669778E-2</v>
      </c>
      <c r="K342" s="10">
        <v>3.9628055861383085E-2</v>
      </c>
      <c r="L342" s="10">
        <v>0.40464978191203127</v>
      </c>
      <c r="M342" s="10">
        <v>0.64158758553375284</v>
      </c>
      <c r="N342" s="10">
        <v>0.43628710276721816</v>
      </c>
      <c r="O342" s="10">
        <v>0.66862069627326515</v>
      </c>
      <c r="P342" s="10">
        <v>0.53778629162156688</v>
      </c>
      <c r="Q342" s="10">
        <v>47.4194297791</v>
      </c>
      <c r="R342" s="10">
        <v>67.591636657699993</v>
      </c>
      <c r="S342" s="10">
        <v>52.800701141399998</v>
      </c>
      <c r="T342" s="10">
        <v>66.363609314000001</v>
      </c>
      <c r="U342" s="10">
        <v>98.151695251500001</v>
      </c>
      <c r="V342" s="10">
        <v>53.050533294700003</v>
      </c>
      <c r="W342" s="10">
        <v>28.409200169999998</v>
      </c>
      <c r="X342" s="10">
        <v>-26.172349910000001</v>
      </c>
    </row>
    <row r="343" spans="1:24" x14ac:dyDescent="0.45">
      <c r="A343">
        <v>79700073</v>
      </c>
      <c r="B343" t="s">
        <v>22</v>
      </c>
      <c r="D343">
        <v>1</v>
      </c>
      <c r="E343" s="10">
        <v>0.10769335272535424</v>
      </c>
      <c r="F343" s="10">
        <v>0.21476361200028729</v>
      </c>
      <c r="G343" s="10">
        <v>0.76690256494472941</v>
      </c>
      <c r="H343" s="10">
        <v>0.22227103256869216</v>
      </c>
      <c r="I343" s="10">
        <v>9.9914518006407466E-2</v>
      </c>
      <c r="J343" s="10">
        <v>5.937410306403647E-3</v>
      </c>
      <c r="K343" s="10">
        <v>2.8978763566509566E-2</v>
      </c>
      <c r="L343" s="10">
        <v>0.37922741949944805</v>
      </c>
      <c r="M343" s="10">
        <v>0.64329226846267451</v>
      </c>
      <c r="N343" s="10">
        <v>0.4647506129338036</v>
      </c>
      <c r="O343" s="10">
        <v>0.62998564626953324</v>
      </c>
      <c r="P343" s="10">
        <v>0.52931398679136477</v>
      </c>
      <c r="Q343" s="10">
        <v>33.6024596691</v>
      </c>
      <c r="R343" s="10">
        <v>62.494863023400001</v>
      </c>
      <c r="S343" s="10">
        <v>48.605088963999997</v>
      </c>
      <c r="T343" s="10">
        <v>66.050167294199994</v>
      </c>
      <c r="U343" s="10">
        <v>85.828880730999998</v>
      </c>
      <c r="V343" s="10">
        <v>49.4953119738</v>
      </c>
      <c r="W343" s="10">
        <v>28.352318019999998</v>
      </c>
      <c r="X343" s="10">
        <v>-26.189505619999998</v>
      </c>
    </row>
    <row r="344" spans="1:24" x14ac:dyDescent="0.45">
      <c r="A344">
        <v>79700074</v>
      </c>
      <c r="B344" t="s">
        <v>22</v>
      </c>
      <c r="D344">
        <v>1</v>
      </c>
      <c r="E344" s="10">
        <v>0.49990423372501086</v>
      </c>
      <c r="F344" s="10">
        <v>0.19182294495809402</v>
      </c>
      <c r="G344" s="10">
        <v>0.77772496967631322</v>
      </c>
      <c r="H344" s="10">
        <v>0.18586330736983162</v>
      </c>
      <c r="I344" s="10">
        <v>3.3245311110685356E-2</v>
      </c>
      <c r="J344" s="10">
        <v>7.6920394640196382E-3</v>
      </c>
      <c r="K344" s="10">
        <v>4.0021731891350873E-2</v>
      </c>
      <c r="L344" s="10">
        <v>0.46816631114076251</v>
      </c>
      <c r="M344" s="10">
        <v>0.84381046323962217</v>
      </c>
      <c r="N344" s="10">
        <v>0.58312421464702358</v>
      </c>
      <c r="O344" s="10">
        <v>0.80236792957424607</v>
      </c>
      <c r="P344" s="10">
        <v>0.67436722965041351</v>
      </c>
      <c r="Q344" s="10">
        <v>37.963875579800003</v>
      </c>
      <c r="R344" s="10">
        <v>71.282469132399996</v>
      </c>
      <c r="S344" s="10">
        <v>53.4812137005</v>
      </c>
      <c r="T344" s="10">
        <v>78.842978159599994</v>
      </c>
      <c r="U344" s="10">
        <v>94.581660999999997</v>
      </c>
      <c r="V344" s="10">
        <v>58.224019405900002</v>
      </c>
      <c r="W344" s="10">
        <v>28.362849359999998</v>
      </c>
      <c r="X344" s="10">
        <v>-26.269977050000001</v>
      </c>
    </row>
    <row r="345" spans="1:24" x14ac:dyDescent="0.45">
      <c r="A345">
        <v>79700075</v>
      </c>
      <c r="B345" t="s">
        <v>22</v>
      </c>
      <c r="D345">
        <v>1</v>
      </c>
      <c r="E345" s="10">
        <v>0.15937218311777079</v>
      </c>
      <c r="F345" s="10">
        <v>8.4158998733783796E-2</v>
      </c>
      <c r="G345" s="10">
        <v>0.7328941948655896</v>
      </c>
      <c r="H345" s="10">
        <v>8.8150005749268401E-2</v>
      </c>
      <c r="I345" s="10">
        <v>1.9045940487977517E-2</v>
      </c>
      <c r="J345" s="10">
        <v>3.4039426980586093E-3</v>
      </c>
      <c r="K345" s="10">
        <v>6.3672757568833005E-2</v>
      </c>
      <c r="L345" s="10">
        <v>0.48205806266387796</v>
      </c>
      <c r="M345" s="10">
        <v>0.83683440643373963</v>
      </c>
      <c r="N345" s="10">
        <v>0.61352974924701364</v>
      </c>
      <c r="O345" s="10">
        <v>0.77953207174843631</v>
      </c>
      <c r="P345" s="10">
        <v>0.67798857252326683</v>
      </c>
      <c r="Q345" s="10">
        <v>41.443086242699998</v>
      </c>
      <c r="R345" s="10">
        <v>77.166374206499995</v>
      </c>
      <c r="S345" s="10">
        <v>56.310131073000001</v>
      </c>
      <c r="T345" s="10">
        <v>82.414794921899997</v>
      </c>
      <c r="U345" s="10">
        <v>108.42335510300001</v>
      </c>
      <c r="V345" s="10">
        <v>61.517211914100002</v>
      </c>
      <c r="W345" s="10">
        <v>28.460180489999999</v>
      </c>
      <c r="X345" s="10">
        <v>-26.242961659999999</v>
      </c>
    </row>
    <row r="346" spans="1:24" x14ac:dyDescent="0.45">
      <c r="A346">
        <v>79700076</v>
      </c>
      <c r="B346" t="s">
        <v>22</v>
      </c>
      <c r="D346">
        <v>1</v>
      </c>
      <c r="E346" s="10">
        <v>4.7386696687896301E-2</v>
      </c>
      <c r="F346" s="10">
        <v>0.26545925258882896</v>
      </c>
      <c r="G346" s="10">
        <v>0.7255985223480681</v>
      </c>
      <c r="H346" s="10">
        <v>8.618339421457033E-2</v>
      </c>
      <c r="I346" s="10">
        <v>0.10447199372998478</v>
      </c>
      <c r="J346" s="10">
        <v>1.4694537541878386E-3</v>
      </c>
      <c r="K346" s="10">
        <v>9.8797599806110969E-2</v>
      </c>
      <c r="L346" s="10">
        <v>0.50431671259603661</v>
      </c>
      <c r="M346" s="10">
        <v>0.70770161938070542</v>
      </c>
      <c r="N346" s="10">
        <v>0.58389209961135258</v>
      </c>
      <c r="O346" s="10">
        <v>0.78058503482271391</v>
      </c>
      <c r="P346" s="10">
        <v>0.64412386660270216</v>
      </c>
      <c r="Q346" s="10">
        <v>35.6929080146</v>
      </c>
      <c r="R346" s="10">
        <v>78.298725128200005</v>
      </c>
      <c r="S346" s="10">
        <v>52.323829650900002</v>
      </c>
      <c r="T346" s="10">
        <v>82.601345062299998</v>
      </c>
      <c r="U346" s="10">
        <v>107.886222839</v>
      </c>
      <c r="V346" s="10">
        <v>70.383510589599993</v>
      </c>
      <c r="W346" s="10">
        <v>28.470748530000002</v>
      </c>
      <c r="X346" s="10">
        <v>-26.298140350000001</v>
      </c>
    </row>
    <row r="347" spans="1:24" x14ac:dyDescent="0.45">
      <c r="A347">
        <v>79700077</v>
      </c>
      <c r="B347" t="s">
        <v>22</v>
      </c>
      <c r="D347">
        <v>1</v>
      </c>
      <c r="E347" s="10">
        <v>0.54898434721470457</v>
      </c>
      <c r="F347" s="10">
        <v>0.23166174325418795</v>
      </c>
      <c r="G347" s="10">
        <v>0.76471312712084472</v>
      </c>
      <c r="H347" s="10">
        <v>1.4866822247031229E-3</v>
      </c>
      <c r="I347" s="10">
        <v>0.26258937747405631</v>
      </c>
      <c r="J347" s="10">
        <v>4.597554080855594E-2</v>
      </c>
      <c r="K347" s="10">
        <v>0.16660136542173629</v>
      </c>
      <c r="L347" s="10">
        <v>0.44946576083178591</v>
      </c>
      <c r="M347" s="10">
        <v>0.70263414790452039</v>
      </c>
      <c r="N347" s="10">
        <v>0.50730777590609333</v>
      </c>
      <c r="O347" s="10">
        <v>0.69091600857432334</v>
      </c>
      <c r="P347" s="10">
        <v>0.58758092330418077</v>
      </c>
      <c r="Q347" s="10">
        <v>45.860237121600001</v>
      </c>
      <c r="R347" s="10">
        <v>70.399728139199993</v>
      </c>
      <c r="S347" s="10">
        <v>48.292125542999997</v>
      </c>
      <c r="T347" s="10">
        <v>78.046363512699998</v>
      </c>
      <c r="U347" s="10">
        <v>96.277915636700001</v>
      </c>
      <c r="V347" s="10">
        <v>58.982518355099998</v>
      </c>
      <c r="W347" s="10">
        <v>28.413511920000001</v>
      </c>
      <c r="X347" s="10">
        <v>-26.309563499999999</v>
      </c>
    </row>
    <row r="348" spans="1:24" x14ac:dyDescent="0.45">
      <c r="A348">
        <v>79700078</v>
      </c>
      <c r="B348" t="s">
        <v>22</v>
      </c>
      <c r="D348">
        <v>1</v>
      </c>
      <c r="E348" s="10">
        <v>0.29937590489712052</v>
      </c>
      <c r="F348" s="10">
        <v>0.38994883846318018</v>
      </c>
      <c r="G348" s="10">
        <v>0.76716142582188995</v>
      </c>
      <c r="H348" s="10">
        <v>5.5598998216425131E-2</v>
      </c>
      <c r="I348" s="10">
        <v>3.9311887565669779E-2</v>
      </c>
      <c r="J348" s="10">
        <v>2.0373168327708528E-2</v>
      </c>
      <c r="K348" s="10">
        <v>4.2701872455041173E-2</v>
      </c>
      <c r="L348" s="10">
        <v>0.56108590632163347</v>
      </c>
      <c r="M348" s="10">
        <v>0.81706971395948069</v>
      </c>
      <c r="N348" s="10">
        <v>0.6505714606711912</v>
      </c>
      <c r="O348" s="10">
        <v>0.85194525546007605</v>
      </c>
      <c r="P348" s="10">
        <v>0.7201680841030953</v>
      </c>
      <c r="Q348" s="10">
        <v>55.387924194299998</v>
      </c>
      <c r="R348" s="10">
        <v>71.549903869600001</v>
      </c>
      <c r="S348" s="10">
        <v>49.567680358899999</v>
      </c>
      <c r="T348" s="10">
        <v>79.539154052699999</v>
      </c>
      <c r="U348" s="10">
        <v>98.246406555199997</v>
      </c>
      <c r="V348" s="10">
        <v>58.846382141100001</v>
      </c>
      <c r="W348" s="10">
        <v>28.4085705</v>
      </c>
      <c r="X348" s="10">
        <v>-26.278087559999999</v>
      </c>
    </row>
    <row r="349" spans="1:24" x14ac:dyDescent="0.45">
      <c r="A349">
        <v>79900059</v>
      </c>
      <c r="B349" t="s">
        <v>29</v>
      </c>
      <c r="D349">
        <v>1</v>
      </c>
      <c r="E349" s="10">
        <v>7.1281868662712022E-3</v>
      </c>
      <c r="F349" s="10">
        <v>7.8973055674035463E-3</v>
      </c>
      <c r="G349" s="10">
        <v>0.49624164608777982</v>
      </c>
      <c r="H349" s="10">
        <v>4.8388595130019639E-3</v>
      </c>
      <c r="I349" s="10">
        <v>2.7360528996231599E-3</v>
      </c>
      <c r="J349" s="10">
        <v>8.8135997944357898E-3</v>
      </c>
      <c r="K349" s="10">
        <v>4.1256088133630443E-2</v>
      </c>
      <c r="L349" s="10">
        <v>0.77291448378782779</v>
      </c>
      <c r="M349" s="10">
        <v>0.78155161995510436</v>
      </c>
      <c r="N349" s="10">
        <v>0.70251230753768512</v>
      </c>
      <c r="O349" s="10">
        <v>0.92582194730225198</v>
      </c>
      <c r="P349" s="10">
        <v>0.79570008964571737</v>
      </c>
      <c r="Q349" s="10">
        <v>21.642932891800001</v>
      </c>
      <c r="R349" s="10">
        <v>46.491754020099997</v>
      </c>
      <c r="S349" s="10">
        <v>33.3940001697</v>
      </c>
      <c r="T349" s="10">
        <v>46.826555112500003</v>
      </c>
      <c r="U349" s="10">
        <v>65.896881243099998</v>
      </c>
      <c r="V349" s="10">
        <v>39.849579927400001</v>
      </c>
      <c r="W349" s="10">
        <v>28.203404989999999</v>
      </c>
      <c r="X349" s="10">
        <v>-25.780773880000002</v>
      </c>
    </row>
  </sheetData>
  <conditionalFormatting sqref="AC4:AJ9">
    <cfRule type="colorScale" priority="1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AC11:AJ16">
    <cfRule type="colorScale" priority="2">
      <colorScale>
        <cfvo type="min"/>
        <cfvo type="num" val="0"/>
        <cfvo type="max"/>
        <color rgb="FF5A8AC6"/>
        <color rgb="FFFCFCFF"/>
        <color rgb="FFF8696B"/>
      </colorScale>
    </cfRule>
  </conditionalFormatting>
  <conditionalFormatting sqref="AC18:AJ23">
    <cfRule type="cellIs" dxfId="2" priority="3" operator="lessThanOrEqual">
      <formula>0.005</formula>
    </cfRule>
    <cfRule type="cellIs" dxfId="1" priority="4" operator="lessThanOrEqual">
      <formula>0.05</formula>
    </cfRule>
    <cfRule type="cellIs" dxfId="0" priority="5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Siyabonga Simelane</dc:creator>
  <cp:lastModifiedBy>Siyabonga Simelane</cp:lastModifiedBy>
  <dcterms:created xsi:type="dcterms:W3CDTF">2025-11-09T02:02:30Z</dcterms:created>
  <dcterms:modified xsi:type="dcterms:W3CDTF">2025-11-09T02:40:28Z</dcterms:modified>
</cp:coreProperties>
</file>